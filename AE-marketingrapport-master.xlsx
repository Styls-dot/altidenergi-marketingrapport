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 autoFilterDateGrouping="1"/>
  </bookViews>
  <sheets>
    <sheet xmlns:r="http://schemas.openxmlformats.org/officeDocument/2006/relationships" name="Konfig" sheetId="1" state="visible" r:id="rId1"/>
    <sheet xmlns:r="http://schemas.openxmlformats.org/officeDocument/2006/relationships" name="Input" sheetId="2" state="visible" r:id="rId2"/>
    <sheet xmlns:r="http://schemas.openxmlformats.org/officeDocument/2006/relationships" name="Kommentarer" sheetId="3" state="visible" r:id="rId3"/>
    <sheet xmlns:r="http://schemas.openxmlformats.org/officeDocument/2006/relationships" name="Rapport" sheetId="4" state="visible" r:id="rId4"/>
  </sheets>
  <definedNames>
    <definedName name="CAC_TARGET" hidden="0" function="0" vbProcedure="0">Konfig!$C$9</definedName>
    <definedName name="CMO_COST" hidden="0" function="0" vbProcedure="0">Konfig!$C$7</definedName>
    <definedName name="CVR_TARGET" hidden="0" function="0" vbProcedure="0">Konfig!$C$10</definedName>
    <definedName name="KONTRAKT_TIMER" hidden="0" function="0" vbProcedure="0">Konfig!$C$8</definedName>
    <definedName name="TIMEPRIS" hidden="0" function="0" vbProcedure="0">Konfig!$C$6</definedName>
    <definedName name="VALUE_PER_CUSTOMER" hidden="0" function="0" vbProcedure="0">Konfig!$C$5</definedName>
    <definedName name="_xlnm.Print_Area" localSheetId="3">'Rapport'!$A$1:$AE$152</definedName>
  </definedNames>
  <calcPr calcId="124519" fullCalcOnLoad="1" refMode="A1" iterate="0" iterateCount="100" iterateDelta="0.0001"/>
</workbook>
</file>

<file path=xl/styles.xml><?xml version="1.0" encoding="utf-8"?>
<styleSheet xmlns="http://schemas.openxmlformats.org/spreadsheetml/2006/main">
  <numFmts count="13">
    <numFmt numFmtId="164" formatCode="0.0%"/>
    <numFmt numFmtId="165" formatCode="#,##0&quot; kr&quot;"/>
    <numFmt numFmtId="166" formatCode="mmm\-yy"/>
    <numFmt numFmtId="167" formatCode="[h]:mm"/>
    <numFmt numFmtId="168" formatCode="0.0&quot; mdr&quot;"/>
    <numFmt numFmtId="169" formatCode="0.00\x"/>
    <numFmt numFmtId="170" formatCode="\+0.0%;\-0.0%;\—"/>
    <numFmt numFmtId="171" formatCode="\+0.0&quot; mdr&quot;;\-0.0&quot; mdr&quot;;\—"/>
    <numFmt numFmtId="172" formatCode="\+0.00\x;\-0.00\x;\—"/>
    <numFmt numFmtId="173" formatCode="\+0.0&quot; pp&quot;;\-0.0&quot; pp&quot;;\—"/>
    <numFmt numFmtId="174" formatCode="\+0%;\-0%;\—"/>
    <numFmt numFmtId="175" formatCode="0.0&quot; months&quot;"/>
    <numFmt numFmtId="176" formatCode="0.0"/>
  </numFmts>
  <fonts count="43">
    <font>
      <name val="Calibri"/>
      <charset val="1"/>
      <family val="2"/>
      <color theme="1"/>
      <sz val="11"/>
    </font>
    <font>
      <name val="Arial"/>
      <family val="0"/>
      <sz val="10"/>
    </font>
    <font>
      <name val="Arial"/>
      <family val="0"/>
      <sz val="10"/>
    </font>
    <font>
      <name val="Arial"/>
      <family val="0"/>
      <sz val="10"/>
    </font>
    <font>
      <name val="Aptos"/>
      <charset val="1"/>
      <family val="0"/>
      <b val="1"/>
      <color rgb="FFFFFFFF"/>
      <sz val="16"/>
    </font>
    <font>
      <name val="Aptos"/>
      <charset val="1"/>
      <family val="0"/>
      <b val="1"/>
      <color rgb="FFFFFFFF"/>
      <sz val="11"/>
    </font>
    <font>
      <name val="Aptos"/>
      <charset val="1"/>
      <family val="0"/>
      <color rgb="FF1F3A5F"/>
      <sz val="10"/>
    </font>
    <font>
      <name val="Aptos"/>
      <charset val="1"/>
      <family val="0"/>
      <b val="1"/>
      <color rgb="FF0000FF"/>
      <sz val="10"/>
    </font>
    <font>
      <name val="Aptos"/>
      <charset val="1"/>
      <family val="0"/>
      <i val="1"/>
      <color rgb="FF6B7684"/>
      <sz val="9"/>
    </font>
    <font>
      <name val="Aptos"/>
      <charset val="1"/>
      <family val="0"/>
      <b val="1"/>
      <color rgb="FF0F172A"/>
      <sz val="10"/>
    </font>
    <font>
      <name val="Aptos"/>
      <charset val="1"/>
      <family val="0"/>
      <b val="1"/>
      <color rgb="FF0000FF"/>
      <sz val="11"/>
    </font>
    <font>
      <name val="Aptos"/>
      <charset val="1"/>
      <family val="0"/>
      <i val="1"/>
      <color rgb="FF64748B"/>
      <sz val="9"/>
    </font>
    <font>
      <name val="Aptos"/>
      <charset val="1"/>
      <family val="0"/>
      <color rgb="FF0F172A"/>
      <sz val="11"/>
    </font>
    <font>
      <name val="Aptos"/>
      <charset val="1"/>
      <family val="0"/>
      <b val="1"/>
      <color rgb="FFFFFFFF"/>
      <sz val="10"/>
    </font>
    <font>
      <name val="Aptos"/>
      <charset val="1"/>
      <family val="0"/>
      <color rgb="FF64748B"/>
      <sz val="10"/>
    </font>
    <font>
      <name val="Aptos"/>
      <charset val="1"/>
      <family val="0"/>
      <b val="1"/>
      <color rgb="FF000000"/>
      <sz val="10"/>
    </font>
    <font>
      <name val="Aptos"/>
      <charset val="1"/>
      <family val="0"/>
      <b val="1"/>
      <color rgb="FF1F3A5F"/>
      <sz val="10"/>
    </font>
    <font>
      <name val="Aptos"/>
      <charset val="1"/>
      <family val="0"/>
      <color rgb="FF6B7684"/>
      <sz val="9"/>
    </font>
    <font>
      <name val="Aptos"/>
      <charset val="1"/>
      <family val="0"/>
      <color rgb="FF1F3A5F"/>
      <sz val="9"/>
    </font>
    <font>
      <name val="Aptos"/>
      <charset val="1"/>
      <family val="0"/>
      <b val="1"/>
      <color rgb="FF1F3A5F"/>
      <sz val="9"/>
    </font>
    <font>
      <name val="Cambria"/>
      <charset val="1"/>
      <family val="0"/>
      <i val="1"/>
      <color rgb="FF808080"/>
      <sz val="10"/>
    </font>
    <font>
      <name val="Aptos"/>
      <charset val="1"/>
      <family val="0"/>
      <b val="1"/>
      <color rgb="FFFFFFFF"/>
      <sz val="14"/>
    </font>
    <font>
      <name val="Aptos"/>
      <charset val="1"/>
      <family val="0"/>
      <color rgb="FF0F172A"/>
      <sz val="10"/>
    </font>
    <font>
      <name val="Aptos"/>
      <charset val="1"/>
      <family val="0"/>
      <b val="1"/>
      <color rgb="FF0F3B4F"/>
      <sz val="16"/>
    </font>
    <font>
      <name val="Aptos"/>
      <charset val="1"/>
      <family val="0"/>
      <i val="1"/>
      <color rgb="FF64748B"/>
      <sz val="11"/>
    </font>
    <font>
      <name val="Aptos"/>
      <charset val="1"/>
      <family val="0"/>
      <b val="1"/>
      <color rgb="FF64748B"/>
      <sz val="9"/>
    </font>
    <font>
      <name val="Aptos"/>
      <charset val="1"/>
      <family val="0"/>
      <b val="1"/>
      <color rgb="FFFFFFFF"/>
      <sz val="9"/>
    </font>
    <font>
      <name val="Aptos"/>
      <charset val="1"/>
      <family val="0"/>
      <i val="1"/>
      <color rgb="FF94A3B8"/>
      <sz val="8"/>
    </font>
    <font>
      <name val="Aptos"/>
      <charset val="1"/>
      <family val="0"/>
      <b val="1"/>
      <color rgb="FF0F3B4F"/>
      <sz val="11"/>
    </font>
    <font>
      <name val="Aptos"/>
      <charset val="1"/>
      <family val="0"/>
      <color rgb="FF0F172A"/>
      <sz val="9"/>
    </font>
    <font>
      <name val="Aptos"/>
      <charset val="1"/>
      <family val="0"/>
      <b val="1"/>
      <color rgb="FF0F3B4F"/>
      <sz val="10"/>
    </font>
    <font>
      <name val="Aptos"/>
      <charset val="1"/>
      <family val="0"/>
      <color rgb="FFFFFFFF"/>
      <sz val="1"/>
    </font>
    <font>
      <name val="Aptos"/>
      <charset val="1"/>
      <family val="0"/>
      <b val="1"/>
      <color rgb="FF0F3B4F"/>
      <sz val="18"/>
    </font>
    <font>
      <name val="Aptos"/>
      <charset val="1"/>
      <family val="0"/>
      <b val="1"/>
      <color rgb="FF64748B"/>
      <sz val="8"/>
    </font>
    <font>
      <name val="Aptos"/>
      <charset val="1"/>
      <family val="0"/>
      <b val="1"/>
      <color rgb="FF0F3B4F"/>
      <sz val="14"/>
    </font>
    <font>
      <name val="Aptos"/>
      <charset val="1"/>
      <family val="0"/>
      <b val="1"/>
      <color rgb="FF0D9488"/>
      <sz val="11"/>
    </font>
    <font>
      <name val="Aptos"/>
      <charset val="1"/>
      <family val="0"/>
      <b val="1"/>
      <color rgb="FF0F3B4F"/>
      <sz val="12"/>
    </font>
    <font>
      <name val="Aptos"/>
      <charset val="1"/>
      <family val="0"/>
      <b val="1"/>
      <color rgb="FF0D9488"/>
      <sz val="9"/>
    </font>
    <font>
      <name val="Aptos"/>
      <charset val="1"/>
      <family val="0"/>
      <b val="1"/>
      <color rgb="FF0F3B4F"/>
      <sz val="9"/>
    </font>
    <font>
      <name val="Aptos"/>
      <charset val="1"/>
      <family val="0"/>
      <color rgb="FF64748B"/>
      <sz val="9"/>
    </font>
    <font>
      <name val="Calibri"/>
      <family val="2"/>
      <color rgb="FF000000"/>
      <sz val="10"/>
    </font>
    <font>
      <name val="Calibri"/>
      <family val="2"/>
      <b val="1"/>
      <color rgb="FF000000"/>
      <sz val="10"/>
    </font>
    <font>
      <name val="Calibri"/>
      <family val="2"/>
      <b val="1"/>
      <color rgb="FF000000"/>
      <sz val="18"/>
    </font>
  </fonts>
  <fills count="23">
    <fill>
      <patternFill/>
    </fill>
    <fill>
      <patternFill patternType="gray125"/>
    </fill>
    <fill>
      <patternFill patternType="solid">
        <fgColor rgb="FF1F3A5F"/>
        <bgColor rgb="FF0F3B4F"/>
      </patternFill>
    </fill>
    <fill>
      <patternFill patternType="solid">
        <fgColor rgb="FF4A7FB8"/>
        <bgColor rgb="FF3B82F6"/>
      </patternFill>
    </fill>
    <fill>
      <patternFill patternType="solid">
        <fgColor rgb="FFDCE6F1"/>
        <bgColor rgb="FFDBEAFE"/>
      </patternFill>
    </fill>
    <fill>
      <patternFill patternType="solid">
        <fgColor rgb="FF0F3B4F"/>
        <bgColor rgb="FF1F3A5F"/>
      </patternFill>
    </fill>
    <fill>
      <patternFill patternType="solid">
        <fgColor rgb="FFFFF9E6"/>
        <bgColor rgb="FFFEFCE8"/>
      </patternFill>
    </fill>
    <fill>
      <patternFill patternType="solid">
        <fgColor rgb="FF10B981"/>
        <bgColor rgb="FF0D9488"/>
      </patternFill>
    </fill>
    <fill>
      <patternFill patternType="solid">
        <fgColor rgb="FFF59E0B"/>
        <bgColor rgb="FFF58220"/>
      </patternFill>
    </fill>
    <fill>
      <patternFill patternType="solid">
        <fgColor rgb="FFEF4444"/>
        <bgColor rgb="FFF58220"/>
      </patternFill>
    </fill>
    <fill>
      <patternFill patternType="solid">
        <fgColor rgb="FFE9EEF3"/>
        <bgColor rgb="FFF1F5F9"/>
      </patternFill>
    </fill>
    <fill>
      <patternFill patternType="solid">
        <fgColor rgb="FFE2EFDA"/>
        <bgColor rgb="FFE9EEF3"/>
      </patternFill>
    </fill>
    <fill>
      <patternFill patternType="solid">
        <fgColor rgb="FFFFFFFF"/>
        <bgColor rgb="FFF8FAFC"/>
      </patternFill>
    </fill>
    <fill>
      <patternFill patternType="solid">
        <fgColor rgb="FFF58220"/>
        <bgColor rgb="FFF59E0B"/>
      </patternFill>
    </fill>
    <fill>
      <patternFill patternType="solid">
        <fgColor rgb="FFF1F5F9"/>
        <bgColor rgb="FFF8FAFC"/>
      </patternFill>
    </fill>
    <fill>
      <patternFill patternType="solid">
        <fgColor rgb="FFFEFCE8"/>
        <bgColor rgb="FFFFF9E6"/>
      </patternFill>
    </fill>
    <fill>
      <patternFill patternType="solid">
        <fgColor rgb="FFDCFCE7"/>
        <bgColor rgb="FFE2EFDA"/>
      </patternFill>
    </fill>
    <fill>
      <patternFill patternType="solid">
        <fgColor rgb="FFFEF3C7"/>
        <bgColor rgb="FFFFF9E6"/>
      </patternFill>
    </fill>
    <fill>
      <patternFill patternType="solid">
        <fgColor rgb="FF0D9488"/>
        <bgColor rgb="FF10B981"/>
      </patternFill>
    </fill>
    <fill>
      <patternFill patternType="solid">
        <fgColor rgb="FF3B82F6"/>
        <bgColor rgb="FF4A7FB8"/>
      </patternFill>
    </fill>
    <fill>
      <patternFill patternType="solid">
        <fgColor rgb="FFDBEAFE"/>
        <bgColor rgb="FFDCE6F1"/>
      </patternFill>
    </fill>
    <fill>
      <patternFill patternType="solid">
        <fgColor rgb="FF64748B"/>
        <bgColor rgb="FF6B7684"/>
      </patternFill>
    </fill>
    <fill>
      <patternFill patternType="solid">
        <fgColor rgb="FFF8FAFC"/>
        <bgColor rgb="FFFFFFFF"/>
      </patternFill>
    </fill>
  </fills>
  <borders count="19">
    <border>
      <left/>
      <right/>
      <top/>
      <bottom/>
      <diagonal/>
    </border>
    <border>
      <left style="thin">
        <color rgb="FFC5CDD4"/>
      </left>
      <right style="thin">
        <color rgb="FFC5CDD4"/>
      </right>
      <top style="thin">
        <color rgb="FFC5CDD4"/>
      </top>
      <bottom style="thin">
        <color rgb="FFC5CDD4"/>
      </bottom>
      <diagonal/>
    </border>
    <border>
      <left style="thin">
        <color rgb="FFCBD5E1"/>
      </left>
      <right style="thin">
        <color rgb="FFCBD5E1"/>
      </right>
      <top style="thin">
        <color rgb="FFCBD5E1"/>
      </top>
      <bottom style="thin">
        <color rgb="FFCBD5E1"/>
      </bottom>
      <diagonal/>
    </border>
    <border>
      <left/>
      <right/>
      <top/>
      <bottom style="medium">
        <color rgb="FF0F3B4F"/>
      </bottom>
      <diagonal/>
    </border>
    <border>
      <left style="thin">
        <color rgb="FFCBD5E1"/>
      </left>
      <right style="thin">
        <color rgb="FFCBD5E1"/>
      </right>
      <top style="thin">
        <color rgb="FFCBD5E1"/>
      </top>
      <bottom/>
      <diagonal/>
    </border>
    <border>
      <left style="thin">
        <color rgb="FFCBD5E1"/>
      </left>
      <right style="thin">
        <color rgb="FFCBD5E1"/>
      </right>
      <top/>
      <bottom/>
      <diagonal/>
    </border>
    <border>
      <left style="thin">
        <color rgb="FFCBD5E1"/>
      </left>
      <right style="thin">
        <color rgb="FFCBD5E1"/>
      </right>
      <top/>
      <bottom style="thin">
        <color rgb="FFCBD5E1"/>
      </bottom>
      <diagonal/>
    </border>
    <border>
      <left/>
      <right/>
      <top/>
      <bottom style="thin">
        <color rgb="FFCBD5E1"/>
      </bottom>
      <diagonal/>
    </border>
    <border>
      <left style="medium">
        <color rgb="FFF59E0B"/>
      </left>
      <right style="medium">
        <color rgb="FFF59E0B"/>
      </right>
      <top style="medium">
        <color rgb="FFF59E0B"/>
      </top>
      <bottom style="medium">
        <color rgb="FFF59E0B"/>
      </bottom>
      <diagonal/>
    </border>
    <border>
      <left/>
      <right/>
      <top style="thin">
        <color rgb="FFCBD5E1"/>
      </top>
      <bottom/>
      <diagonal/>
    </border>
    <border>
      <left/>
      <right style="thin">
        <color rgb="FFCBD5E1"/>
      </right>
      <top style="thin">
        <color rgb="FFCBD5E1"/>
      </top>
      <bottom/>
      <diagonal/>
    </border>
    <border>
      <left/>
      <right style="thin">
        <color rgb="FFCBD5E1"/>
      </right>
      <top/>
      <bottom/>
      <diagonal/>
    </border>
    <border>
      <left/>
      <right style="thin">
        <color rgb="FFCBD5E1"/>
      </right>
      <top/>
      <bottom style="thin">
        <color rgb="FFCBD5E1"/>
      </bottom>
      <diagonal/>
    </border>
    <border>
      <left style="thin">
        <color rgb="FFCBD5E1"/>
      </left>
      <right/>
      <top/>
      <bottom/>
      <diagonal/>
    </border>
    <border>
      <left style="thin">
        <color rgb="FFCBD5E1"/>
      </left>
      <right/>
      <top/>
      <bottom style="thin">
        <color rgb="FFCBD5E1"/>
      </bottom>
      <diagonal/>
    </border>
    <border>
      <left/>
      <right/>
      <top style="medium">
        <color rgb="FFF59E0B"/>
      </top>
      <bottom/>
      <diagonal/>
    </border>
    <border>
      <left/>
      <right style="medium">
        <color rgb="FFF59E0B"/>
      </right>
      <top style="medium">
        <color rgb="FFF59E0B"/>
      </top>
      <bottom/>
      <diagonal/>
    </border>
    <border>
      <left/>
      <right/>
      <top style="medium">
        <color rgb="FFF59E0B"/>
      </top>
      <bottom style="medium">
        <color rgb="FFF59E0B"/>
      </bottom>
      <diagonal/>
    </border>
    <border>
      <left/>
      <right style="medium">
        <color rgb="FFF59E0B"/>
      </right>
      <top style="medium">
        <color rgb="FFF59E0B"/>
      </top>
      <bottom style="medium">
        <color rgb="FFF59E0B"/>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42">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left" vertical="center" indent="1"/>
    </xf>
    <xf numFmtId="0" fontId="5" fillId="3" borderId="0" applyAlignment="1" pivotButton="0" quotePrefix="0" xfId="0">
      <alignment horizontal="left" vertical="center" indent="1"/>
    </xf>
    <xf numFmtId="0" fontId="6" fillId="0" borderId="0" applyAlignment="1" pivotButton="0" quotePrefix="0" xfId="0">
      <alignment horizontal="left" vertical="center" indent="1"/>
    </xf>
    <xf numFmtId="3" fontId="7" fillId="4" borderId="1" applyAlignment="1" pivotButton="0" quotePrefix="0" xfId="0">
      <alignment horizontal="right" vertical="center"/>
    </xf>
    <xf numFmtId="0" fontId="8" fillId="0" borderId="0" applyAlignment="1" pivotButton="0" quotePrefix="0" xfId="0">
      <alignment horizontal="left" vertical="center" indent="1"/>
    </xf>
    <xf numFmtId="164" fontId="7" fillId="4" borderId="1" applyAlignment="1" pivotButton="0" quotePrefix="0" xfId="0">
      <alignment horizontal="right" vertical="center"/>
    </xf>
    <xf numFmtId="0" fontId="5" fillId="5" borderId="0" applyAlignment="1" pivotButton="0" quotePrefix="0" xfId="0">
      <alignment horizontal="left" vertical="center" indent="1"/>
    </xf>
    <xf numFmtId="0" fontId="9" fillId="0" borderId="0" applyAlignment="1" pivotButton="0" quotePrefix="0" xfId="0">
      <alignment horizontal="left" vertical="center" indent="1"/>
    </xf>
    <xf numFmtId="165" fontId="10" fillId="6" borderId="0" applyAlignment="1" pivotButton="0" quotePrefix="0" xfId="0">
      <alignment horizontal="center" vertical="center"/>
    </xf>
    <xf numFmtId="0" fontId="11" fillId="0" borderId="0" applyAlignment="1" pivotButton="0" quotePrefix="0" xfId="0">
      <alignment horizontal="left" vertical="center" indent="1"/>
    </xf>
    <xf numFmtId="0" fontId="12" fillId="0" borderId="0" applyAlignment="1" pivotButton="0" quotePrefix="0" xfId="0">
      <alignment horizontal="general" vertical="bottom"/>
    </xf>
    <xf numFmtId="9" fontId="10" fillId="6" borderId="0" applyAlignment="1" pivotButton="0" quotePrefix="0" xfId="0">
      <alignment horizontal="center" vertical="center"/>
    </xf>
    <xf numFmtId="0" fontId="10" fillId="6" borderId="0" applyAlignment="1" pivotButton="0" quotePrefix="0" xfId="0">
      <alignment horizontal="center" vertical="center"/>
    </xf>
    <xf numFmtId="0" fontId="13" fillId="7" borderId="0" applyAlignment="1" pivotButton="0" quotePrefix="0" xfId="0">
      <alignment horizontal="left" vertical="center" indent="1"/>
    </xf>
    <xf numFmtId="0" fontId="14" fillId="0" borderId="0" applyAlignment="1" pivotButton="0" quotePrefix="0" xfId="0">
      <alignment horizontal="left" vertical="center" indent="1"/>
    </xf>
    <xf numFmtId="0" fontId="13" fillId="8" borderId="0" applyAlignment="1" pivotButton="0" quotePrefix="0" xfId="0">
      <alignment horizontal="left" vertical="center" indent="1"/>
    </xf>
    <xf numFmtId="0" fontId="13" fillId="9" borderId="0" applyAlignment="1" pivotButton="0" quotePrefix="0" xfId="0">
      <alignment horizontal="left" vertical="center" indent="1"/>
    </xf>
    <xf numFmtId="0" fontId="7" fillId="0" borderId="0" applyAlignment="1" pivotButton="0" quotePrefix="0" xfId="0">
      <alignment horizontal="left" vertical="center" indent="1"/>
    </xf>
    <xf numFmtId="0" fontId="15" fillId="0" borderId="0" applyAlignment="1" pivotButton="0" quotePrefix="0" xfId="0">
      <alignment horizontal="left" vertical="center" indent="1"/>
    </xf>
    <xf numFmtId="0" fontId="13" fillId="3" borderId="0" applyAlignment="1" pivotButton="0" quotePrefix="0" xfId="0">
      <alignment horizontal="left" vertical="center" indent="1"/>
    </xf>
    <xf numFmtId="166" fontId="13" fillId="3" borderId="0" applyAlignment="1" pivotButton="0" quotePrefix="0" xfId="0">
      <alignment horizontal="center" vertical="center"/>
    </xf>
    <xf numFmtId="0" fontId="13" fillId="2" borderId="0" applyAlignment="1" pivotButton="0" quotePrefix="0" xfId="0">
      <alignment horizontal="left" vertical="center" indent="1"/>
    </xf>
    <xf numFmtId="0" fontId="16" fillId="10" borderId="0" applyAlignment="1" pivotButton="0" quotePrefix="0" xfId="0">
      <alignment horizontal="left" vertical="center" indent="1"/>
    </xf>
    <xf numFmtId="0" fontId="17" fillId="0" borderId="0" applyAlignment="1" pivotButton="0" quotePrefix="0" xfId="0">
      <alignment horizontal="left" vertical="center" indent="1"/>
    </xf>
    <xf numFmtId="3" fontId="18" fillId="11" borderId="1" applyAlignment="1" pivotButton="0" quotePrefix="0" xfId="0">
      <alignment horizontal="right" vertical="center"/>
    </xf>
    <xf numFmtId="164" fontId="18" fillId="12" borderId="1" applyAlignment="1" pivotButton="0" quotePrefix="0" xfId="0">
      <alignment horizontal="right" vertical="center"/>
    </xf>
    <xf numFmtId="3" fontId="18" fillId="12" borderId="1" applyAlignment="1" pivotButton="0" quotePrefix="0" xfId="0">
      <alignment horizontal="right" vertical="center"/>
    </xf>
    <xf numFmtId="167" fontId="18" fillId="4" borderId="1" applyAlignment="1" pivotButton="0" quotePrefix="0" xfId="0">
      <alignment horizontal="right" vertical="center"/>
    </xf>
    <xf numFmtId="167" fontId="18" fillId="12" borderId="1" applyAlignment="1" pivotButton="0" quotePrefix="0" xfId="0">
      <alignment horizontal="right" vertical="center"/>
    </xf>
    <xf numFmtId="3" fontId="18" fillId="4" borderId="1" applyAlignment="1" pivotButton="0" quotePrefix="0" xfId="0">
      <alignment horizontal="right" vertical="center"/>
    </xf>
    <xf numFmtId="0" fontId="13" fillId="13" borderId="0" applyAlignment="1" pivotButton="0" quotePrefix="0" xfId="0">
      <alignment horizontal="left" vertical="center" indent="1"/>
    </xf>
    <xf numFmtId="3" fontId="19" fillId="12" borderId="1" applyAlignment="1" pivotButton="0" quotePrefix="0" xfId="0">
      <alignment horizontal="right" vertical="center"/>
    </xf>
    <xf numFmtId="164" fontId="19" fillId="12" borderId="1" applyAlignment="1" pivotButton="0" quotePrefix="0" xfId="0">
      <alignment horizontal="right" vertical="center"/>
    </xf>
    <xf numFmtId="0" fontId="20" fillId="0" borderId="0" applyAlignment="1" pivotButton="0" quotePrefix="0" xfId="0">
      <alignment horizontal="general" vertical="bottom"/>
    </xf>
    <xf numFmtId="0" fontId="13" fillId="13" borderId="0" applyAlignment="1" pivotButton="0" quotePrefix="0" xfId="0">
      <alignment horizontal="left" vertical="center" indent="1"/>
    </xf>
    <xf numFmtId="10" fontId="18" fillId="11" borderId="1" applyAlignment="1" pivotButton="0" quotePrefix="0" xfId="0">
      <alignment horizontal="right" vertical="center"/>
    </xf>
    <xf numFmtId="0" fontId="21" fillId="5" borderId="0" applyAlignment="1" pivotButton="0" quotePrefix="0" xfId="0">
      <alignment horizontal="left" vertical="center" indent="1"/>
    </xf>
    <xf numFmtId="0" fontId="13" fillId="5" borderId="0" applyAlignment="1" pivotButton="0" quotePrefix="0" xfId="0">
      <alignment horizontal="left" vertical="center" indent="1"/>
    </xf>
    <xf numFmtId="166" fontId="13" fillId="5" borderId="0" applyAlignment="1" pivotButton="0" quotePrefix="0" xfId="0">
      <alignment horizontal="center" vertical="center"/>
    </xf>
    <xf numFmtId="0" fontId="9" fillId="14" borderId="2" applyAlignment="1" pivotButton="0" quotePrefix="0" xfId="0">
      <alignment horizontal="left" vertical="center" wrapText="1" indent="1"/>
    </xf>
    <xf numFmtId="0" fontId="22" fillId="15" borderId="2" applyAlignment="1" pivotButton="0" quotePrefix="0" xfId="0">
      <alignment horizontal="left" vertical="top" wrapText="1" indent="1"/>
    </xf>
    <xf numFmtId="0" fontId="5" fillId="7" borderId="0" applyAlignment="1" pivotButton="0" quotePrefix="0" xfId="0">
      <alignment horizontal="left" vertical="center" indent="1"/>
    </xf>
    <xf numFmtId="0" fontId="22" fillId="16" borderId="2" applyAlignment="1" pivotButton="0" quotePrefix="0" xfId="0">
      <alignment horizontal="left" vertical="top" wrapText="1" indent="1"/>
    </xf>
    <xf numFmtId="0" fontId="5" fillId="8" borderId="0" applyAlignment="1" pivotButton="0" quotePrefix="0" xfId="0">
      <alignment horizontal="left" vertical="center" indent="1"/>
    </xf>
    <xf numFmtId="0" fontId="22" fillId="17" borderId="2" applyAlignment="1" pivotButton="0" quotePrefix="0" xfId="0">
      <alignment horizontal="left" vertical="top" wrapText="1" indent="1"/>
    </xf>
    <xf numFmtId="0" fontId="5" fillId="18" borderId="0" applyAlignment="1" pivotButton="0" quotePrefix="0" xfId="0">
      <alignment horizontal="left" vertical="center" indent="1"/>
    </xf>
    <xf numFmtId="0" fontId="22" fillId="14" borderId="2" applyAlignment="1" pivotButton="0" quotePrefix="0" xfId="0">
      <alignment horizontal="left" vertical="top" wrapText="1" indent="1"/>
    </xf>
    <xf numFmtId="0" fontId="5" fillId="19" borderId="0" applyAlignment="1" pivotButton="0" quotePrefix="0" xfId="0">
      <alignment horizontal="left" vertical="center" indent="1"/>
    </xf>
    <xf numFmtId="0" fontId="22" fillId="20" borderId="2" applyAlignment="1" pivotButton="0" quotePrefix="0" xfId="0">
      <alignment horizontal="left" vertical="top" wrapText="1" indent="1"/>
    </xf>
    <xf numFmtId="0" fontId="23" fillId="0" borderId="0" applyAlignment="1" pivotButton="0" quotePrefix="0" xfId="0">
      <alignment horizontal="left" vertical="center" indent="1"/>
    </xf>
    <xf numFmtId="0" fontId="24" fillId="0" borderId="0" applyAlignment="1" pivotButton="0" quotePrefix="0" xfId="0">
      <alignment horizontal="left" vertical="center" indent="1"/>
    </xf>
    <xf numFmtId="0" fontId="14" fillId="0" borderId="0" applyAlignment="1" pivotButton="0" quotePrefix="0" xfId="0">
      <alignment horizontal="right" vertical="center"/>
    </xf>
    <xf numFmtId="0" fontId="0" fillId="0" borderId="3" applyAlignment="1" pivotButton="0" quotePrefix="0" xfId="0">
      <alignment horizontal="general" vertical="bottom"/>
    </xf>
    <xf numFmtId="0" fontId="25" fillId="14" borderId="4" applyAlignment="1" pivotButton="0" quotePrefix="0" xfId="0">
      <alignment horizontal="center" vertical="center"/>
    </xf>
    <xf numFmtId="3" fontId="23" fillId="12" borderId="5" applyAlignment="1" pivotButton="0" quotePrefix="0" xfId="0">
      <alignment horizontal="center" vertical="center"/>
    </xf>
    <xf numFmtId="165" fontId="23" fillId="12" borderId="5" applyAlignment="1" pivotButton="0" quotePrefix="0" xfId="0">
      <alignment horizontal="center" vertical="center"/>
    </xf>
    <xf numFmtId="168" fontId="23" fillId="12" borderId="5" applyAlignment="1" pivotButton="0" quotePrefix="0" xfId="0">
      <alignment horizontal="center" vertical="center"/>
    </xf>
    <xf numFmtId="169" fontId="23" fillId="12" borderId="5" applyAlignment="1" pivotButton="0" quotePrefix="0" xfId="0">
      <alignment horizontal="center" vertical="center"/>
    </xf>
    <xf numFmtId="164" fontId="23" fillId="12" borderId="5" applyAlignment="1" pivotButton="0" quotePrefix="0" xfId="0">
      <alignment horizontal="center" vertical="center"/>
    </xf>
    <xf numFmtId="0" fontId="26" fillId="21" borderId="5" applyAlignment="1" pivotButton="0" quotePrefix="0" xfId="0">
      <alignment horizontal="center" vertical="center"/>
    </xf>
    <xf numFmtId="170" fontId="9" fillId="12" borderId="5" applyAlignment="1" pivotButton="0" quotePrefix="0" xfId="0">
      <alignment horizontal="center" vertical="center"/>
    </xf>
    <xf numFmtId="171" fontId="9" fillId="12" borderId="5" applyAlignment="1" pivotButton="0" quotePrefix="0" xfId="0">
      <alignment horizontal="center" vertical="center"/>
    </xf>
    <xf numFmtId="172" fontId="9" fillId="12" borderId="5" applyAlignment="1" pivotButton="0" quotePrefix="0" xfId="0">
      <alignment horizontal="center" vertical="center"/>
    </xf>
    <xf numFmtId="173" fontId="9" fillId="12" borderId="5" applyAlignment="1" pivotButton="0" quotePrefix="0" xfId="0">
      <alignment horizontal="center" vertical="center"/>
    </xf>
    <xf numFmtId="0" fontId="27" fillId="12" borderId="6" applyAlignment="1" pivotButton="0" quotePrefix="0" xfId="0">
      <alignment horizontal="center" vertical="center" wrapText="1"/>
    </xf>
    <xf numFmtId="0" fontId="28" fillId="0" borderId="7" applyAlignment="1" pivotButton="0" quotePrefix="0" xfId="0">
      <alignment horizontal="left" vertical="center" indent="1"/>
    </xf>
    <xf numFmtId="0" fontId="13" fillId="7" borderId="4" applyAlignment="1" pivotButton="0" quotePrefix="0" xfId="0">
      <alignment horizontal="left" vertical="center" indent="1"/>
    </xf>
    <xf numFmtId="0" fontId="13" fillId="8" borderId="4" applyAlignment="1" pivotButton="0" quotePrefix="0" xfId="0">
      <alignment horizontal="left" vertical="center" indent="1"/>
    </xf>
    <xf numFmtId="0" fontId="13" fillId="19" borderId="4" applyAlignment="1" pivotButton="0" quotePrefix="0" xfId="0">
      <alignment horizontal="left" vertical="center" indent="1"/>
    </xf>
    <xf numFmtId="0" fontId="29" fillId="16" borderId="6" applyAlignment="1" pivotButton="0" quotePrefix="0" xfId="0">
      <alignment horizontal="left" vertical="top" wrapText="1" indent="1"/>
    </xf>
    <xf numFmtId="0" fontId="29" fillId="17" borderId="6" applyAlignment="1" pivotButton="0" quotePrefix="0" xfId="0">
      <alignment horizontal="left" vertical="top" wrapText="1" indent="1"/>
    </xf>
    <xf numFmtId="0" fontId="29" fillId="20" borderId="6" applyAlignment="1" pivotButton="0" quotePrefix="0" xfId="0">
      <alignment horizontal="left" vertical="top" wrapText="1" indent="1"/>
    </xf>
    <xf numFmtId="0" fontId="26" fillId="5" borderId="0" applyAlignment="1" pivotButton="0" quotePrefix="0" xfId="0">
      <alignment horizontal="left" vertical="center" indent="1"/>
    </xf>
    <xf numFmtId="0" fontId="26" fillId="5" borderId="0" applyAlignment="1" pivotButton="0" quotePrefix="0" xfId="0">
      <alignment horizontal="center" vertical="center"/>
    </xf>
    <xf numFmtId="0" fontId="9" fillId="12" borderId="7" applyAlignment="1" pivotButton="0" quotePrefix="0" xfId="0">
      <alignment horizontal="left" vertical="center" indent="1"/>
    </xf>
    <xf numFmtId="165" fontId="22" fillId="12" borderId="7" applyAlignment="1" pivotButton="0" quotePrefix="0" xfId="0">
      <alignment horizontal="center" vertical="center"/>
    </xf>
    <xf numFmtId="164" fontId="22" fillId="12" borderId="7" applyAlignment="1" pivotButton="0" quotePrefix="0" xfId="0">
      <alignment horizontal="center" vertical="center"/>
    </xf>
    <xf numFmtId="3" fontId="22" fillId="12" borderId="7" applyAlignment="1" pivotButton="0" quotePrefix="0" xfId="0">
      <alignment horizontal="center" vertical="center"/>
    </xf>
    <xf numFmtId="165" fontId="9" fillId="12" borderId="7" applyAlignment="1" pivotButton="0" quotePrefix="0" xfId="0">
      <alignment horizontal="center" vertical="center"/>
    </xf>
    <xf numFmtId="174" fontId="9" fillId="12" borderId="7" applyAlignment="1" pivotButton="0" quotePrefix="0" xfId="0">
      <alignment horizontal="center" vertical="center"/>
    </xf>
    <xf numFmtId="0" fontId="26" fillId="21" borderId="7" applyAlignment="1" pivotButton="0" quotePrefix="0" xfId="0">
      <alignment horizontal="center" vertical="center"/>
    </xf>
    <xf numFmtId="0" fontId="9" fillId="22" borderId="7" applyAlignment="1" pivotButton="0" quotePrefix="0" xfId="0">
      <alignment horizontal="left" vertical="center" indent="1"/>
    </xf>
    <xf numFmtId="165" fontId="22" fillId="22" borderId="7" applyAlignment="1" pivotButton="0" quotePrefix="0" xfId="0">
      <alignment horizontal="center" vertical="center"/>
    </xf>
    <xf numFmtId="164" fontId="22" fillId="22" borderId="7" applyAlignment="1" pivotButton="0" quotePrefix="0" xfId="0">
      <alignment horizontal="center" vertical="center"/>
    </xf>
    <xf numFmtId="3" fontId="22" fillId="22" borderId="7" applyAlignment="1" pivotButton="0" quotePrefix="0" xfId="0">
      <alignment horizontal="center" vertical="center"/>
    </xf>
    <xf numFmtId="165" fontId="9" fillId="22" borderId="7" applyAlignment="1" pivotButton="0" quotePrefix="0" xfId="0">
      <alignment horizontal="center" vertical="center"/>
    </xf>
    <xf numFmtId="174" fontId="9" fillId="22" borderId="7" applyAlignment="1" pivotButton="0" quotePrefix="0" xfId="0">
      <alignment horizontal="center" vertical="center"/>
    </xf>
    <xf numFmtId="0" fontId="13" fillId="5" borderId="0" applyAlignment="1" pivotButton="0" quotePrefix="0" xfId="0">
      <alignment horizontal="left" vertical="center" indent="1"/>
    </xf>
    <xf numFmtId="165" fontId="13" fillId="5" borderId="0" applyAlignment="1" pivotButton="0" quotePrefix="0" xfId="0">
      <alignment horizontal="center" vertical="center"/>
    </xf>
    <xf numFmtId="9" fontId="13" fillId="5" borderId="0" applyAlignment="1" pivotButton="0" quotePrefix="0" xfId="0">
      <alignment horizontal="center" vertical="center"/>
    </xf>
    <xf numFmtId="3" fontId="13" fillId="5" borderId="0" applyAlignment="1" pivotButton="0" quotePrefix="0" xfId="0">
      <alignment horizontal="center" vertical="center"/>
    </xf>
    <xf numFmtId="164" fontId="13" fillId="5" borderId="0" applyAlignment="1" pivotButton="0" quotePrefix="0" xfId="0">
      <alignment horizontal="center" vertical="center"/>
    </xf>
    <xf numFmtId="165" fontId="5" fillId="5" borderId="0" applyAlignment="1" pivotButton="0" quotePrefix="0" xfId="0">
      <alignment horizontal="center" vertical="center"/>
    </xf>
    <xf numFmtId="174" fontId="13" fillId="5" borderId="0" applyAlignment="1" pivotButton="0" quotePrefix="0" xfId="0">
      <alignment horizontal="center" vertical="center"/>
    </xf>
    <xf numFmtId="0" fontId="13" fillId="5" borderId="0" applyAlignment="1" pivotButton="0" quotePrefix="0" xfId="0">
      <alignment horizontal="center" vertical="center"/>
    </xf>
    <xf numFmtId="0" fontId="30" fillId="0" borderId="7" applyAlignment="1" pivotButton="0" quotePrefix="0" xfId="0">
      <alignment horizontal="left" vertical="center" indent="1"/>
    </xf>
    <xf numFmtId="0" fontId="31" fillId="0" borderId="0" applyAlignment="1" pivotButton="0" quotePrefix="0" xfId="0">
      <alignment horizontal="general" vertical="bottom"/>
    </xf>
    <xf numFmtId="165" fontId="32" fillId="12" borderId="5" applyAlignment="1" pivotButton="0" quotePrefix="0" xfId="0">
      <alignment horizontal="center" vertical="center"/>
    </xf>
    <xf numFmtId="175" fontId="32" fillId="12" borderId="5" applyAlignment="1" pivotButton="0" quotePrefix="0" xfId="0">
      <alignment horizontal="center" vertical="center"/>
    </xf>
    <xf numFmtId="0" fontId="27" fillId="12" borderId="6" applyAlignment="1" pivotButton="0" quotePrefix="0" xfId="0">
      <alignment horizontal="center" vertical="center"/>
    </xf>
    <xf numFmtId="0" fontId="11" fillId="0" borderId="0" applyAlignment="1" pivotButton="0" quotePrefix="0" xfId="0">
      <alignment horizontal="left" vertical="center" wrapText="1" indent="1"/>
    </xf>
    <xf numFmtId="0" fontId="30" fillId="15" borderId="8" applyAlignment="1" pivotButton="0" quotePrefix="0" xfId="0">
      <alignment horizontal="left" vertical="center" wrapText="1" indent="1"/>
    </xf>
    <xf numFmtId="0" fontId="33" fillId="14" borderId="4" applyAlignment="1" pivotButton="0" quotePrefix="0" xfId="0">
      <alignment horizontal="center" vertical="center"/>
    </xf>
    <xf numFmtId="3" fontId="34" fillId="12" borderId="6" applyAlignment="1" pivotButton="0" quotePrefix="0" xfId="0">
      <alignment horizontal="center" vertical="center"/>
    </xf>
    <xf numFmtId="165" fontId="34" fillId="12" borderId="6" applyAlignment="1" pivotButton="0" quotePrefix="0" xfId="0">
      <alignment horizontal="center" vertical="center"/>
    </xf>
    <xf numFmtId="176" fontId="34" fillId="12" borderId="6" applyAlignment="1" pivotButton="0" quotePrefix="0" xfId="0">
      <alignment horizontal="center" vertical="center"/>
    </xf>
    <xf numFmtId="9" fontId="34" fillId="12" borderId="6" applyAlignment="1" pivotButton="0" quotePrefix="0" xfId="0">
      <alignment horizontal="center" vertical="center"/>
    </xf>
    <xf numFmtId="0" fontId="25" fillId="0" borderId="0" applyAlignment="1" pivotButton="0" quotePrefix="0" xfId="0">
      <alignment horizontal="left" vertical="center" indent="1"/>
    </xf>
    <xf numFmtId="0" fontId="35" fillId="22" borderId="2" applyAlignment="1" pivotButton="0" quotePrefix="0" xfId="0">
      <alignment horizontal="center" vertical="center"/>
    </xf>
    <xf numFmtId="0" fontId="36" fillId="15" borderId="0" applyAlignment="1" pivotButton="0" quotePrefix="0" xfId="0">
      <alignment horizontal="left" vertical="center" wrapText="1" indent="1"/>
    </xf>
    <xf numFmtId="0" fontId="22" fillId="22" borderId="2" applyAlignment="1" pivotButton="0" quotePrefix="0" xfId="0">
      <alignment horizontal="left" vertical="top" wrapText="1" indent="1"/>
    </xf>
    <xf numFmtId="0" fontId="37" fillId="0" borderId="0" applyAlignment="1" pivotButton="0" quotePrefix="0" xfId="0">
      <alignment horizontal="left" vertical="center" indent="1"/>
    </xf>
    <xf numFmtId="0" fontId="38" fillId="0" borderId="0" applyAlignment="1" pivotButton="0" quotePrefix="0" xfId="0">
      <alignment horizontal="left" vertical="center" indent="1"/>
    </xf>
    <xf numFmtId="0" fontId="39" fillId="0" borderId="0" applyAlignment="1" pivotButton="0" quotePrefix="0" xfId="0">
      <alignment horizontal="left" vertical="center" wrapText="1"/>
    </xf>
    <xf numFmtId="0" fontId="27" fillId="0" borderId="0" applyAlignment="1" pivotButton="0" quotePrefix="0" xfId="0">
      <alignment horizontal="center" vertical="center"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left" vertical="center" indent="1"/>
    </xf>
    <xf numFmtId="0" fontId="5" fillId="3" borderId="0" applyAlignment="1" pivotButton="0" quotePrefix="0" xfId="0">
      <alignment horizontal="left" vertical="center" indent="1"/>
    </xf>
    <xf numFmtId="0" fontId="6" fillId="0" borderId="0" applyAlignment="1" pivotButton="0" quotePrefix="0" xfId="0">
      <alignment horizontal="left" vertical="center" indent="1"/>
    </xf>
    <xf numFmtId="3" fontId="7" fillId="4" borderId="1" applyAlignment="1" pivotButton="0" quotePrefix="0" xfId="0">
      <alignment horizontal="right" vertical="center"/>
    </xf>
    <xf numFmtId="0" fontId="8" fillId="0" borderId="0" applyAlignment="1" pivotButton="0" quotePrefix="0" xfId="0">
      <alignment horizontal="left" vertical="center" indent="1"/>
    </xf>
    <xf numFmtId="164" fontId="7" fillId="4" borderId="1" applyAlignment="1" pivotButton="0" quotePrefix="0" xfId="0">
      <alignment horizontal="right" vertical="center"/>
    </xf>
    <xf numFmtId="0" fontId="5" fillId="5" borderId="0" applyAlignment="1" pivotButton="0" quotePrefix="0" xfId="0">
      <alignment horizontal="left" vertical="center" indent="1"/>
    </xf>
    <xf numFmtId="0" fontId="9" fillId="0" borderId="0" applyAlignment="1" pivotButton="0" quotePrefix="0" xfId="0">
      <alignment horizontal="left" vertical="center" indent="1"/>
    </xf>
    <xf numFmtId="165" fontId="10" fillId="6" borderId="0" applyAlignment="1" pivotButton="0" quotePrefix="0" xfId="0">
      <alignment horizontal="center" vertical="center"/>
    </xf>
    <xf numFmtId="0" fontId="11" fillId="0" borderId="0" applyAlignment="1" pivotButton="0" quotePrefix="0" xfId="0">
      <alignment horizontal="left" vertical="center" indent="1"/>
    </xf>
    <xf numFmtId="0" fontId="12" fillId="0" borderId="0" applyAlignment="1" pivotButton="0" quotePrefix="0" xfId="0">
      <alignment horizontal="general" vertical="bottom"/>
    </xf>
    <xf numFmtId="9" fontId="10" fillId="6" borderId="0" applyAlignment="1" pivotButton="0" quotePrefix="0" xfId="0">
      <alignment horizontal="center" vertical="center"/>
    </xf>
    <xf numFmtId="0" fontId="10" fillId="6" borderId="0" applyAlignment="1" pivotButton="0" quotePrefix="0" xfId="0">
      <alignment horizontal="center" vertical="center"/>
    </xf>
    <xf numFmtId="0" fontId="13" fillId="7" borderId="0" applyAlignment="1" pivotButton="0" quotePrefix="0" xfId="0">
      <alignment horizontal="left" vertical="center" indent="1"/>
    </xf>
    <xf numFmtId="0" fontId="14" fillId="0" borderId="0" applyAlignment="1" pivotButton="0" quotePrefix="0" xfId="0">
      <alignment horizontal="left" vertical="center" indent="1"/>
    </xf>
    <xf numFmtId="0" fontId="13" fillId="8" borderId="0" applyAlignment="1" pivotButton="0" quotePrefix="0" xfId="0">
      <alignment horizontal="left" vertical="center" indent="1"/>
    </xf>
    <xf numFmtId="0" fontId="13" fillId="9" borderId="0" applyAlignment="1" pivotButton="0" quotePrefix="0" xfId="0">
      <alignment horizontal="left" vertical="center" indent="1"/>
    </xf>
    <xf numFmtId="0" fontId="7" fillId="0" borderId="0" applyAlignment="1" pivotButton="0" quotePrefix="0" xfId="0">
      <alignment horizontal="left" vertical="center" indent="1"/>
    </xf>
    <xf numFmtId="0" fontId="15" fillId="0" borderId="0" applyAlignment="1" pivotButton="0" quotePrefix="0" xfId="0">
      <alignment horizontal="left" vertical="center" indent="1"/>
    </xf>
    <xf numFmtId="0" fontId="13" fillId="3" borderId="0" applyAlignment="1" pivotButton="0" quotePrefix="0" xfId="0">
      <alignment horizontal="left" vertical="center" indent="1"/>
    </xf>
    <xf numFmtId="166" fontId="13" fillId="3" borderId="0" applyAlignment="1" pivotButton="0" quotePrefix="0" xfId="0">
      <alignment horizontal="center" vertical="center"/>
    </xf>
    <xf numFmtId="0" fontId="13" fillId="2" borderId="0" applyAlignment="1" pivotButton="0" quotePrefix="0" xfId="0">
      <alignment horizontal="left" vertical="center" indent="1"/>
    </xf>
    <xf numFmtId="0" fontId="16" fillId="10" borderId="0" applyAlignment="1" pivotButton="0" quotePrefix="0" xfId="0">
      <alignment horizontal="left" vertical="center" indent="1"/>
    </xf>
    <xf numFmtId="0" fontId="17" fillId="0" borderId="0" applyAlignment="1" pivotButton="0" quotePrefix="0" xfId="0">
      <alignment horizontal="left" vertical="center" indent="1"/>
    </xf>
    <xf numFmtId="3" fontId="18" fillId="11" borderId="1" applyAlignment="1" pivotButton="0" quotePrefix="0" xfId="0">
      <alignment horizontal="right" vertical="center"/>
    </xf>
    <xf numFmtId="164" fontId="18" fillId="12" borderId="1" applyAlignment="1" pivotButton="0" quotePrefix="0" xfId="0">
      <alignment horizontal="right" vertical="center"/>
    </xf>
    <xf numFmtId="3" fontId="18" fillId="12" borderId="1" applyAlignment="1" pivotButton="0" quotePrefix="0" xfId="0">
      <alignment horizontal="right" vertical="center"/>
    </xf>
    <xf numFmtId="167" fontId="18" fillId="4" borderId="1" applyAlignment="1" pivotButton="0" quotePrefix="0" xfId="0">
      <alignment horizontal="right" vertical="center"/>
    </xf>
    <xf numFmtId="167" fontId="18" fillId="12" borderId="1" applyAlignment="1" pivotButton="0" quotePrefix="0" xfId="0">
      <alignment horizontal="right" vertical="center"/>
    </xf>
    <xf numFmtId="3" fontId="18" fillId="4" borderId="1" applyAlignment="1" pivotButton="0" quotePrefix="0" xfId="0">
      <alignment horizontal="right" vertical="center"/>
    </xf>
    <xf numFmtId="3" fontId="18" fillId="11" borderId="1" applyAlignment="1" pivotButton="0" quotePrefix="0" xfId="0">
      <alignment horizontal="right" vertical="center"/>
    </xf>
    <xf numFmtId="0" fontId="13" fillId="13" borderId="0" applyAlignment="1" pivotButton="0" quotePrefix="0" xfId="0">
      <alignment horizontal="left" vertical="center" indent="1"/>
    </xf>
    <xf numFmtId="3" fontId="19" fillId="12" borderId="1" applyAlignment="1" pivotButton="0" quotePrefix="0" xfId="0">
      <alignment horizontal="right" vertical="center"/>
    </xf>
    <xf numFmtId="164" fontId="19" fillId="12" borderId="1" applyAlignment="1" pivotButton="0" quotePrefix="0" xfId="0">
      <alignment horizontal="right" vertical="center"/>
    </xf>
    <xf numFmtId="0" fontId="20" fillId="0" borderId="0" applyAlignment="1" pivotButton="0" quotePrefix="0" xfId="0">
      <alignment horizontal="general" vertical="bottom"/>
    </xf>
    <xf numFmtId="10" fontId="18" fillId="11" borderId="1" applyAlignment="1" pivotButton="0" quotePrefix="0" xfId="0">
      <alignment horizontal="right" vertical="center"/>
    </xf>
    <xf numFmtId="0" fontId="21" fillId="5" borderId="0" applyAlignment="1" pivotButton="0" quotePrefix="0" xfId="0">
      <alignment horizontal="left" vertical="center" indent="1"/>
    </xf>
    <xf numFmtId="0" fontId="13" fillId="5" borderId="0" applyAlignment="1" pivotButton="0" quotePrefix="0" xfId="0">
      <alignment horizontal="left" vertical="center" indent="1"/>
    </xf>
    <xf numFmtId="166" fontId="13" fillId="5" borderId="0" applyAlignment="1" pivotButton="0" quotePrefix="0" xfId="0">
      <alignment horizontal="center" vertical="center"/>
    </xf>
    <xf numFmtId="0" fontId="9" fillId="14" borderId="2" applyAlignment="1" pivotButton="0" quotePrefix="0" xfId="0">
      <alignment horizontal="left" vertical="center" wrapText="1" indent="1"/>
    </xf>
    <xf numFmtId="0" fontId="22" fillId="15" borderId="2" applyAlignment="1" pivotButton="0" quotePrefix="0" xfId="0">
      <alignment horizontal="left" vertical="top" wrapText="1" indent="1"/>
    </xf>
    <xf numFmtId="0" fontId="5" fillId="7" borderId="0" applyAlignment="1" pivotButton="0" quotePrefix="0" xfId="0">
      <alignment horizontal="left" vertical="center" indent="1"/>
    </xf>
    <xf numFmtId="0" fontId="22" fillId="16" borderId="2" applyAlignment="1" pivotButton="0" quotePrefix="0" xfId="0">
      <alignment horizontal="left" vertical="top" wrapText="1" indent="1"/>
    </xf>
    <xf numFmtId="0" fontId="5" fillId="8" borderId="0" applyAlignment="1" pivotButton="0" quotePrefix="0" xfId="0">
      <alignment horizontal="left" vertical="center" indent="1"/>
    </xf>
    <xf numFmtId="0" fontId="22" fillId="17" borderId="2" applyAlignment="1" pivotButton="0" quotePrefix="0" xfId="0">
      <alignment horizontal="left" vertical="top" wrapText="1" indent="1"/>
    </xf>
    <xf numFmtId="0" fontId="5" fillId="18" borderId="0" applyAlignment="1" pivotButton="0" quotePrefix="0" xfId="0">
      <alignment horizontal="left" vertical="center" indent="1"/>
    </xf>
    <xf numFmtId="0" fontId="22" fillId="14" borderId="2" applyAlignment="1" pivotButton="0" quotePrefix="0" xfId="0">
      <alignment horizontal="left" vertical="top" wrapText="1" indent="1"/>
    </xf>
    <xf numFmtId="0" fontId="5" fillId="19" borderId="0" applyAlignment="1" pivotButton="0" quotePrefix="0" xfId="0">
      <alignment horizontal="left" vertical="center" indent="1"/>
    </xf>
    <xf numFmtId="0" fontId="22" fillId="20" borderId="2" applyAlignment="1" pivotButton="0" quotePrefix="0" xfId="0">
      <alignment horizontal="left" vertical="top" wrapText="1" indent="1"/>
    </xf>
    <xf numFmtId="0" fontId="23" fillId="0" borderId="0" applyAlignment="1" pivotButton="0" quotePrefix="0" xfId="0">
      <alignment horizontal="left" vertical="center" indent="1"/>
    </xf>
    <xf numFmtId="0" fontId="24" fillId="0" borderId="0" applyAlignment="1" pivotButton="0" quotePrefix="0" xfId="0">
      <alignment horizontal="left" vertical="center" indent="1"/>
    </xf>
    <xf numFmtId="0" fontId="14" fillId="0" borderId="0" applyAlignment="1" pivotButton="0" quotePrefix="0" xfId="0">
      <alignment horizontal="right" vertical="center"/>
    </xf>
    <xf numFmtId="0" fontId="0" fillId="0" borderId="3" applyAlignment="1" pivotButton="0" quotePrefix="0" xfId="0">
      <alignment horizontal="general" vertical="bottom"/>
    </xf>
    <xf numFmtId="0" fontId="25" fillId="14" borderId="4" applyAlignment="1" pivotButton="0" quotePrefix="0" xfId="0">
      <alignment horizontal="center" vertical="center"/>
    </xf>
    <xf numFmtId="0" fontId="0" fillId="0" borderId="9" pivotButton="0" quotePrefix="0" xfId="0"/>
    <xf numFmtId="0" fontId="0" fillId="0" borderId="10" pivotButton="0" quotePrefix="0" xfId="0"/>
    <xf numFmtId="3" fontId="23" fillId="12" borderId="5" applyAlignment="1" pivotButton="0" quotePrefix="0" xfId="0">
      <alignment horizontal="center" vertical="center"/>
    </xf>
    <xf numFmtId="0" fontId="0" fillId="0" borderId="11" pivotButton="0" quotePrefix="0" xfId="0"/>
    <xf numFmtId="165" fontId="23" fillId="12" borderId="5" applyAlignment="1" pivotButton="0" quotePrefix="0" xfId="0">
      <alignment horizontal="center" vertical="center"/>
    </xf>
    <xf numFmtId="168" fontId="23" fillId="12" borderId="5" applyAlignment="1" pivotButton="0" quotePrefix="0" xfId="0">
      <alignment horizontal="center" vertical="center"/>
    </xf>
    <xf numFmtId="169" fontId="23" fillId="12" borderId="5" applyAlignment="1" pivotButton="0" quotePrefix="0" xfId="0">
      <alignment horizontal="center" vertical="center"/>
    </xf>
    <xf numFmtId="164" fontId="23" fillId="12" borderId="5" applyAlignment="1" pivotButton="0" quotePrefix="0" xfId="0">
      <alignment horizontal="center" vertical="center"/>
    </xf>
    <xf numFmtId="0" fontId="26" fillId="21" borderId="5" applyAlignment="1" pivotButton="0" quotePrefix="0" xfId="0">
      <alignment horizontal="center" vertical="center"/>
    </xf>
    <xf numFmtId="170" fontId="9" fillId="12" borderId="5" applyAlignment="1" pivotButton="0" quotePrefix="0" xfId="0">
      <alignment horizontal="center" vertical="center"/>
    </xf>
    <xf numFmtId="171" fontId="9" fillId="12" borderId="5" applyAlignment="1" pivotButton="0" quotePrefix="0" xfId="0">
      <alignment horizontal="center" vertical="center"/>
    </xf>
    <xf numFmtId="172" fontId="9" fillId="12" borderId="5" applyAlignment="1" pivotButton="0" quotePrefix="0" xfId="0">
      <alignment horizontal="center" vertical="center"/>
    </xf>
    <xf numFmtId="173" fontId="9" fillId="12" borderId="5" applyAlignment="1" pivotButton="0" quotePrefix="0" xfId="0">
      <alignment horizontal="center" vertical="center"/>
    </xf>
    <xf numFmtId="0" fontId="27" fillId="12" borderId="6" applyAlignment="1" pivotButton="0" quotePrefix="0" xfId="0">
      <alignment horizontal="center" vertical="center" wrapText="1"/>
    </xf>
    <xf numFmtId="0" fontId="0" fillId="0" borderId="7" pivotButton="0" quotePrefix="0" xfId="0"/>
    <xf numFmtId="0" fontId="0" fillId="0" borderId="12" pivotButton="0" quotePrefix="0" xfId="0"/>
    <xf numFmtId="0" fontId="28" fillId="0" borderId="7" applyAlignment="1" pivotButton="0" quotePrefix="0" xfId="0">
      <alignment horizontal="left" vertical="center" indent="1"/>
    </xf>
    <xf numFmtId="0" fontId="13" fillId="7" borderId="4" applyAlignment="1" pivotButton="0" quotePrefix="0" xfId="0">
      <alignment horizontal="left" vertical="center" indent="1"/>
    </xf>
    <xf numFmtId="0" fontId="13" fillId="8" borderId="4" applyAlignment="1" pivotButton="0" quotePrefix="0" xfId="0">
      <alignment horizontal="left" vertical="center" indent="1"/>
    </xf>
    <xf numFmtId="0" fontId="13" fillId="19" borderId="4" applyAlignment="1" pivotButton="0" quotePrefix="0" xfId="0">
      <alignment horizontal="left" vertical="center" indent="1"/>
    </xf>
    <xf numFmtId="0" fontId="29" fillId="16" borderId="6" applyAlignment="1" pivotButton="0" quotePrefix="0" xfId="0">
      <alignment horizontal="left" vertical="top" wrapText="1" indent="1"/>
    </xf>
    <xf numFmtId="0" fontId="29" fillId="17" borderId="6" applyAlignment="1" pivotButton="0" quotePrefix="0" xfId="0">
      <alignment horizontal="left" vertical="top" wrapText="1" indent="1"/>
    </xf>
    <xf numFmtId="0" fontId="29" fillId="20" borderId="6" applyAlignment="1" pivotButton="0" quotePrefix="0" xfId="0">
      <alignment horizontal="left" vertical="top" wrapText="1" indent="1"/>
    </xf>
    <xf numFmtId="0" fontId="0" fillId="0" borderId="13" pivotButton="0" quotePrefix="0" xfId="0"/>
    <xf numFmtId="0" fontId="0" fillId="0" borderId="14" pivotButton="0" quotePrefix="0" xfId="0"/>
    <xf numFmtId="0" fontId="26" fillId="5" borderId="0" applyAlignment="1" pivotButton="0" quotePrefix="0" xfId="0">
      <alignment horizontal="left" vertical="center" indent="1"/>
    </xf>
    <xf numFmtId="0" fontId="26" fillId="5" borderId="0" applyAlignment="1" pivotButton="0" quotePrefix="0" xfId="0">
      <alignment horizontal="center" vertical="center"/>
    </xf>
    <xf numFmtId="0" fontId="9" fillId="12" borderId="7" applyAlignment="1" pivotButton="0" quotePrefix="0" xfId="0">
      <alignment horizontal="left" vertical="center" indent="1"/>
    </xf>
    <xf numFmtId="165" fontId="22" fillId="12" borderId="7" applyAlignment="1" pivotButton="0" quotePrefix="0" xfId="0">
      <alignment horizontal="center" vertical="center"/>
    </xf>
    <xf numFmtId="164" fontId="22" fillId="12" borderId="7" applyAlignment="1" pivotButton="0" quotePrefix="0" xfId="0">
      <alignment horizontal="center" vertical="center"/>
    </xf>
    <xf numFmtId="3" fontId="22" fillId="12" borderId="7" applyAlignment="1" pivotButton="0" quotePrefix="0" xfId="0">
      <alignment horizontal="center" vertical="center"/>
    </xf>
    <xf numFmtId="165" fontId="9" fillId="12" borderId="7" applyAlignment="1" pivotButton="0" quotePrefix="0" xfId="0">
      <alignment horizontal="center" vertical="center"/>
    </xf>
    <xf numFmtId="174" fontId="9" fillId="12" borderId="7" applyAlignment="1" pivotButton="0" quotePrefix="0" xfId="0">
      <alignment horizontal="center" vertical="center"/>
    </xf>
    <xf numFmtId="0" fontId="26" fillId="21" borderId="7" applyAlignment="1" pivotButton="0" quotePrefix="0" xfId="0">
      <alignment horizontal="center" vertical="center"/>
    </xf>
    <xf numFmtId="0" fontId="9" fillId="22" borderId="7" applyAlignment="1" pivotButton="0" quotePrefix="0" xfId="0">
      <alignment horizontal="left" vertical="center" indent="1"/>
    </xf>
    <xf numFmtId="165" fontId="22" fillId="22" borderId="7" applyAlignment="1" pivotButton="0" quotePrefix="0" xfId="0">
      <alignment horizontal="center" vertical="center"/>
    </xf>
    <xf numFmtId="164" fontId="22" fillId="22" borderId="7" applyAlignment="1" pivotButton="0" quotePrefix="0" xfId="0">
      <alignment horizontal="center" vertical="center"/>
    </xf>
    <xf numFmtId="3" fontId="22" fillId="22" borderId="7" applyAlignment="1" pivotButton="0" quotePrefix="0" xfId="0">
      <alignment horizontal="center" vertical="center"/>
    </xf>
    <xf numFmtId="165" fontId="9" fillId="22" borderId="7" applyAlignment="1" pivotButton="0" quotePrefix="0" xfId="0">
      <alignment horizontal="center" vertical="center"/>
    </xf>
    <xf numFmtId="174" fontId="9" fillId="22" borderId="7" applyAlignment="1" pivotButton="0" quotePrefix="0" xfId="0">
      <alignment horizontal="center" vertical="center"/>
    </xf>
    <xf numFmtId="165" fontId="13" fillId="5" borderId="0" applyAlignment="1" pivotButton="0" quotePrefix="0" xfId="0">
      <alignment horizontal="center" vertical="center"/>
    </xf>
    <xf numFmtId="9" fontId="13" fillId="5" borderId="0" applyAlignment="1" pivotButton="0" quotePrefix="0" xfId="0">
      <alignment horizontal="center" vertical="center"/>
    </xf>
    <xf numFmtId="3" fontId="13" fillId="5" borderId="0" applyAlignment="1" pivotButton="0" quotePrefix="0" xfId="0">
      <alignment horizontal="center" vertical="center"/>
    </xf>
    <xf numFmtId="164" fontId="13" fillId="5" borderId="0" applyAlignment="1" pivotButton="0" quotePrefix="0" xfId="0">
      <alignment horizontal="center" vertical="center"/>
    </xf>
    <xf numFmtId="165" fontId="5" fillId="5" borderId="0" applyAlignment="1" pivotButton="0" quotePrefix="0" xfId="0">
      <alignment horizontal="center" vertical="center"/>
    </xf>
    <xf numFmtId="174" fontId="13" fillId="5" borderId="0" applyAlignment="1" pivotButton="0" quotePrefix="0" xfId="0">
      <alignment horizontal="center" vertical="center"/>
    </xf>
    <xf numFmtId="0" fontId="13" fillId="5" borderId="0" applyAlignment="1" pivotButton="0" quotePrefix="0" xfId="0">
      <alignment horizontal="center" vertical="center"/>
    </xf>
    <xf numFmtId="0" fontId="30" fillId="0" borderId="7" applyAlignment="1" pivotButton="0" quotePrefix="0" xfId="0">
      <alignment horizontal="left" vertical="center" indent="1"/>
    </xf>
    <xf numFmtId="0" fontId="31" fillId="0" borderId="0" applyAlignment="1" pivotButton="0" quotePrefix="0" xfId="0">
      <alignment horizontal="general" vertical="bottom"/>
    </xf>
    <xf numFmtId="165" fontId="32" fillId="12" borderId="5" applyAlignment="1" pivotButton="0" quotePrefix="0" xfId="0">
      <alignment horizontal="center" vertical="center"/>
    </xf>
    <xf numFmtId="175" fontId="32" fillId="12" borderId="5" applyAlignment="1" pivotButton="0" quotePrefix="0" xfId="0">
      <alignment horizontal="center" vertical="center"/>
    </xf>
    <xf numFmtId="0" fontId="27" fillId="12" borderId="6" applyAlignment="1" pivotButton="0" quotePrefix="0" xfId="0">
      <alignment horizontal="center" vertical="center"/>
    </xf>
    <xf numFmtId="0" fontId="11" fillId="0" borderId="0" applyAlignment="1" pivotButton="0" quotePrefix="0" xfId="0">
      <alignment horizontal="left" vertical="center" wrapText="1" indent="1"/>
    </xf>
    <xf numFmtId="0" fontId="30" fillId="15" borderId="8" applyAlignment="1" pivotButton="0" quotePrefix="0" xfId="0">
      <alignment horizontal="left" vertical="center" wrapText="1" indent="1"/>
    </xf>
    <xf numFmtId="0" fontId="0" fillId="0" borderId="17" pivotButton="0" quotePrefix="0" xfId="0"/>
    <xf numFmtId="0" fontId="0" fillId="0" borderId="18" pivotButton="0" quotePrefix="0" xfId="0"/>
    <xf numFmtId="0" fontId="33" fillId="14" borderId="4" applyAlignment="1" pivotButton="0" quotePrefix="0" xfId="0">
      <alignment horizontal="center" vertical="center"/>
    </xf>
    <xf numFmtId="3" fontId="34" fillId="12" borderId="6" applyAlignment="1" pivotButton="0" quotePrefix="0" xfId="0">
      <alignment horizontal="center" vertical="center"/>
    </xf>
    <xf numFmtId="165" fontId="34" fillId="12" borderId="6" applyAlignment="1" pivotButton="0" quotePrefix="0" xfId="0">
      <alignment horizontal="center" vertical="center"/>
    </xf>
    <xf numFmtId="176" fontId="34" fillId="12" borderId="6" applyAlignment="1" pivotButton="0" quotePrefix="0" xfId="0">
      <alignment horizontal="center" vertical="center"/>
    </xf>
    <xf numFmtId="9" fontId="34" fillId="12" borderId="6" applyAlignment="1" pivotButton="0" quotePrefix="0" xfId="0">
      <alignment horizontal="center" vertical="center"/>
    </xf>
    <xf numFmtId="0" fontId="25" fillId="0" borderId="0" applyAlignment="1" pivotButton="0" quotePrefix="0" xfId="0">
      <alignment horizontal="left" vertical="center" indent="1"/>
    </xf>
    <xf numFmtId="0" fontId="35" fillId="22" borderId="2" applyAlignment="1" pivotButton="0" quotePrefix="0" xfId="0">
      <alignment horizontal="center" vertical="center"/>
    </xf>
    <xf numFmtId="0" fontId="36" fillId="15" borderId="0" applyAlignment="1" pivotButton="0" quotePrefix="0" xfId="0">
      <alignment horizontal="left" vertical="center" wrapText="1" indent="1"/>
    </xf>
    <xf numFmtId="0" fontId="22" fillId="22" borderId="2" applyAlignment="1" pivotButton="0" quotePrefix="0" xfId="0">
      <alignment horizontal="left" vertical="top" wrapText="1" indent="1"/>
    </xf>
    <xf numFmtId="0" fontId="37" fillId="0" borderId="0" applyAlignment="1" pivotButton="0" quotePrefix="0" xfId="0">
      <alignment horizontal="left" vertical="center" indent="1"/>
    </xf>
    <xf numFmtId="0" fontId="38" fillId="0" borderId="0" applyAlignment="1" pivotButton="0" quotePrefix="0" xfId="0">
      <alignment horizontal="left" vertical="center" indent="1"/>
    </xf>
    <xf numFmtId="0" fontId="39" fillId="0" borderId="0" applyAlignment="1" pivotButton="0" quotePrefix="0" xfId="0">
      <alignment horizontal="left" vertical="center" wrapText="1"/>
    </xf>
    <xf numFmtId="0" fontId="27" fillId="0" borderId="0"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ont>
        <name val="Aptos"/>
        <charset val="1"/>
        <family val="0"/>
        <b val="1"/>
        <color rgb="FFFFFFFF"/>
        <sz val="9"/>
      </font>
      <fill>
        <patternFill>
          <bgColor rgb="FF10B981"/>
        </patternFill>
      </fill>
    </dxf>
    <dxf>
      <font>
        <name val="Aptos"/>
        <charset val="1"/>
        <family val="0"/>
        <b val="1"/>
        <color rgb="FFFFFFFF"/>
        <sz val="9"/>
      </font>
      <fill>
        <patternFill>
          <bgColor rgb="FFF59E0B"/>
        </patternFill>
      </fill>
    </dxf>
    <dxf>
      <font>
        <name val="Aptos"/>
        <charset val="1"/>
        <family val="0"/>
        <b val="1"/>
        <color rgb="FFFFFFFF"/>
        <sz val="9"/>
      </font>
      <fill>
        <patternFill>
          <bgColor rgb="FFEF4444"/>
        </patternFill>
      </fill>
    </dxf>
    <dxf>
      <font>
        <name val="Aptos"/>
        <charset val="1"/>
        <family val="0"/>
        <b val="1"/>
        <color rgb="FFFFFFFF"/>
        <sz val="9"/>
      </font>
      <fill>
        <patternFill>
          <bgColor rgb="FFCBD5E1"/>
        </patternFill>
      </fill>
    </dxf>
  </dxfs>
  <colors>
    <indexedColors>
      <rgbColor rgb="FF000000"/>
      <rgbColor rgb="FFFFFFFF"/>
      <rgbColor rgb="FFFF0000"/>
      <rgbColor rgb="FF00FF00"/>
      <rgbColor rgb="FF0000FF"/>
      <rgbColor rgb="FFFEFCE8"/>
      <rgbColor rgb="FFFF00FF"/>
      <rgbColor rgb="FF00FFFF"/>
      <rgbColor rgb="FF800000"/>
      <rgbColor rgb="FF008000"/>
      <rgbColor rgb="FF000080"/>
      <rgbColor rgb="FF6B7684"/>
      <rgbColor rgb="FF800080"/>
      <rgbColor rgb="FF0D9488"/>
      <rgbColor rgb="FFC5CDD4"/>
      <rgbColor rgb="FF808080"/>
      <rgbColor rgb="FF9999FF"/>
      <rgbColor rgb="FFEF4444"/>
      <rgbColor rgb="FFFEF3C7"/>
      <rgbColor rgb="FFDCFCE7"/>
      <rgbColor rgb="FF660066"/>
      <rgbColor rgb="FFFF8080"/>
      <rgbColor rgb="FF0066CC"/>
      <rgbColor rgb="FFCBD5E1"/>
      <rgbColor rgb="FF000080"/>
      <rgbColor rgb="FFFF00FF"/>
      <rgbColor rgb="FFF1F5F9"/>
      <rgbColor rgb="FF00FFFF"/>
      <rgbColor rgb="FF800080"/>
      <rgbColor rgb="FF800000"/>
      <rgbColor rgb="FF4A7FB8"/>
      <rgbColor rgb="FF0000FF"/>
      <rgbColor rgb="FF00CCFF"/>
      <rgbColor rgb="FFDBEAFE"/>
      <rgbColor rgb="FFE2EFDA"/>
      <rgbColor rgb="FFFFF9E6"/>
      <rgbColor rgb="FFB3B3B3"/>
      <rgbColor rgb="FFE9EEF3"/>
      <rgbColor rgb="FFDCE6F1"/>
      <rgbColor rgb="FFD9D9D9"/>
      <rgbColor rgb="FF3B82F6"/>
      <rgbColor rgb="FF33CCCC"/>
      <rgbColor rgb="FF99CC00"/>
      <rgbColor rgb="FFF8FAFC"/>
      <rgbColor rgb="FFF59E0B"/>
      <rgbColor rgb="FFF58220"/>
      <rgbColor rgb="FF64748B"/>
      <rgbColor rgb="FF94A3B8"/>
      <rgbColor rgb="FF0F3B4F"/>
      <rgbColor rgb="FF10B981"/>
      <rgbColor rgb="FF0F172A"/>
      <rgbColor rgb="FF333300"/>
      <rgbColor rgb="FF993300"/>
      <rgbColor rgb="FF993366"/>
      <rgbColor rgb="FF333399"/>
      <rgbColor rgb="FF1F3A5F"/>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chart>
    <plotArea>
      <barChart>
        <barDir val="col"/>
        <grouping val="clustered"/>
        <varyColors val="0"/>
        <ser>
          <idx val="0"/>
          <order val="0"/>
          <tx>
            <strRef>
              <f>"Sign-ups"</f>
              <strCache>
                <ptCount val="1"/>
                <pt idx="0">
                  <v>Sign-ups</v>
                </pt>
              </strCache>
            </strRef>
          </tx>
          <spPr>
            <a:solidFill xmlns:a="http://schemas.openxmlformats.org/drawingml/2006/main">
              <a:srgbClr val="0d9488"/>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dLblPos val="outEnd"/>
            <showLegendKey val="1"/>
            <showVal val="0"/>
            <showCatName val="0"/>
            <showSerName val="0"/>
            <showPercent val="0"/>
            <showLeaderLines val="0"/>
          </dLbls>
          <cat>
            <multiLvlStrRef>
              <multiLvlStrCache>
                <lvl>
                  <pt idx="0">
                    <v>Mar-26</v>
                  </pt>
                </lvl>
                <lvl>
                  <pt idx="0">
                    <v>Feb-26</v>
                  </pt>
                </lvl>
                <lvl>
                  <pt idx="0">
                    <v>Jan-26</v>
                  </pt>
                </lvl>
                <lvl>
                  <pt idx="0">
                    <v>Dec-25</v>
                  </pt>
                </lvl>
                <lvl>
                  <pt idx="0">
                    <v>Nov-25</v>
                  </pt>
                </lvl>
                <lvl>
                  <pt idx="0">
                    <v>Oct-25</v>
                  </pt>
                </lvl>
                <lvl>
                  <pt idx="0">
                    <v>Sep-25</v>
                  </pt>
                </lvl>
                <lvl>
                  <pt idx="0">
                    <v>Aug-25</v>
                  </pt>
                </lvl>
                <lvl>
                  <pt idx="0">
                    <v>Jul-25</v>
                  </pt>
                </lvl>
                <lvl>
                  <pt idx="0">
                    <v>Jun-25</v>
                  </pt>
                </lvl>
                <lvl>
                  <pt idx="0">
                    <v>May-25</v>
                  </pt>
                </lvl>
                <lvl>
                  <pt idx="0">
                    <v>Apr-25</v>
                  </pt>
                </lvl>
              </multiLvlStrCache>
              <f>Input!$K$3:$V$3</f>
            </multiLvlStrRef>
          </cat>
          <val>
            <numRef>
              <f>Input!$K$111:$V$111</f>
              <numCache>
                <formatCode>#,##0</formatCode>
                <ptCount val="12"/>
                <pt idx="0">
                  <v>177</v>
                </pt>
                <pt idx="1">
                  <v>226</v>
                </pt>
                <pt idx="2">
                  <v>358</v>
                </pt>
                <pt idx="3">
                  <v>558</v>
                </pt>
                <pt idx="4">
                  <v>572</v>
                </pt>
                <pt idx="5">
                  <v>543</v>
                </pt>
                <pt idx="6">
                  <v>204</v>
                </pt>
                <pt idx="7">
                  <v>647</v>
                </pt>
                <pt idx="8">
                  <v>451</v>
                </pt>
                <pt idx="9">
                  <v>744</v>
                </pt>
                <pt idx="10">
                  <v>919</v>
                </pt>
                <pt idx="11">
                  <v>814</v>
                </pt>
              </numCache>
            </numRef>
          </val>
        </ser>
        <gapWidth val="150"/>
        <overlap val="0"/>
        <axId val="2157835"/>
        <axId val="41765347"/>
      </barChart>
      <lineChart>
        <grouping val="standard"/>
        <varyColors val="0"/>
        <ser>
          <idx val="1"/>
          <order val="1"/>
          <tx>
            <strRef>
              <f>"Blended CAC (kr)"</f>
              <strCache>
                <ptCount val="1"/>
                <pt idx="0">
                  <v>Blended CAC (kr)</v>
                </pt>
              </strCache>
            </strRef>
          </tx>
          <spPr>
            <a:solidFill xmlns:a="http://schemas.openxmlformats.org/drawingml/2006/main">
              <a:srgbClr val="f59e0b"/>
            </a:solidFill>
            <a:ln xmlns:a="http://schemas.openxmlformats.org/drawingml/2006/main" w="21960">
              <a:solidFill>
                <a:srgbClr val="f59e0b"/>
              </a:solidFill>
              <a:prstDash val="solid"/>
              <a:round/>
            </a:ln>
          </spPr>
          <marker>
            <symbol val="none"/>
            <spPr>
              <a:ln xmlns:a="http://schemas.openxmlformats.org/drawingml/2006/main">
                <a:prstDash val="solid"/>
              </a:ln>
            </spPr>
          </marker>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dLblPos val="r"/>
            <showLegendKey val="1"/>
            <showVal val="0"/>
            <showCatName val="0"/>
            <showSerName val="0"/>
            <showPercent val="0"/>
            <showLeaderLines val="0"/>
          </dLbls>
          <cat>
            <multiLvlStrRef>
              <multiLvlStrCache>
                <lvl>
                  <pt idx="0">
                    <v>Mar-26</v>
                  </pt>
                </lvl>
                <lvl>
                  <pt idx="0">
                    <v>Feb-26</v>
                  </pt>
                </lvl>
                <lvl>
                  <pt idx="0">
                    <v>Jan-26</v>
                  </pt>
                </lvl>
                <lvl>
                  <pt idx="0">
                    <v>Dec-25</v>
                  </pt>
                </lvl>
                <lvl>
                  <pt idx="0">
                    <v>Nov-25</v>
                  </pt>
                </lvl>
                <lvl>
                  <pt idx="0">
                    <v>Oct-25</v>
                  </pt>
                </lvl>
                <lvl>
                  <pt idx="0">
                    <v>Sep-25</v>
                  </pt>
                </lvl>
                <lvl>
                  <pt idx="0">
                    <v>Aug-25</v>
                  </pt>
                </lvl>
                <lvl>
                  <pt idx="0">
                    <v>Jul-25</v>
                  </pt>
                </lvl>
                <lvl>
                  <pt idx="0">
                    <v>Jun-25</v>
                  </pt>
                </lvl>
                <lvl>
                  <pt idx="0">
                    <v>May-25</v>
                  </pt>
                </lvl>
                <lvl>
                  <pt idx="0">
                    <v>Apr-25</v>
                  </pt>
                </lvl>
              </multiLvlStrCache>
              <f>Input!$K$3:$V$3</f>
            </multiLvlStrRef>
          </cat>
          <val>
            <numRef>
              <f>Input!$K$112:$V$112</f>
              <numCache>
                <formatCode>#,##0</formatCode>
                <ptCount val="12"/>
                <pt idx="0">
                  <v>182.367231638418</v>
                </pt>
                <pt idx="1">
                  <v>192.557522123894</v>
                </pt>
                <pt idx="2">
                  <v>178.139664804469</v>
                </pt>
                <pt idx="3">
                  <v>46.3136200716846</v>
                </pt>
                <pt idx="4">
                  <v>42.2377622377622</v>
                </pt>
                <pt idx="5">
                  <v>34.4033149171271</v>
                </pt>
                <pt idx="6">
                  <v>208.46568627451</v>
                </pt>
                <pt idx="7">
                  <v>745.893353941267</v>
                </pt>
                <pt idx="8">
                  <v>117.259423503326</v>
                </pt>
                <pt idx="9">
                  <v>193.778225806452</v>
                </pt>
                <pt idx="10">
                  <v>182.036996735582</v>
                </pt>
                <pt idx="11">
                  <v>196.362407862408</v>
                </pt>
              </numCache>
            </numRef>
          </val>
          <smooth val="1"/>
        </ser>
        <hiLowLines>
          <spPr>
            <a:ln xmlns:a="http://schemas.openxmlformats.org/drawingml/2006/main" w="0">
              <a:noFill/>
              <a:prstDash val="solid"/>
            </a:ln>
          </spPr>
        </hiLowLines>
        <marker val="0"/>
        <axId val="57907455"/>
        <axId val="93378071"/>
      </lineChart>
      <dateAx>
        <axId val="2157835"/>
        <scaling>
          <orientation val="minMax"/>
        </scaling>
        <delete val="0"/>
        <axPos val="b"/>
        <numFmt formatCode="mmm\-yy"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41765347"/>
        <crosses val="autoZero"/>
        <lblOffset val="100"/>
        <baseTimeUnit val="months"/>
      </dateAx>
      <valAx>
        <axId val="41765347"/>
        <scaling>
          <orientation val="minMax"/>
        </scaling>
        <delete val="0"/>
        <axPos val="l"/>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Sign-ups</a:t>
                </a:r>
              </a:p>
            </rich>
          </tx>
          <overlay val="0"/>
          <spPr>
            <a:noFill xmlns:a="http://schemas.openxmlformats.org/drawingml/2006/main"/>
            <a:ln xmlns:a="http://schemas.openxmlformats.org/drawingml/2006/main" w="0">
              <a:noFill/>
              <a:prstDash val="solid"/>
            </a:ln>
          </spPr>
        </title>
        <numFmt formatCode="#,##0"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2157835"/>
        <crosses val="autoZero"/>
        <crossBetween val="between"/>
      </valAx>
      <dateAx>
        <axId val="57907455"/>
        <scaling>
          <orientation val="minMax"/>
        </scaling>
        <delete val="0"/>
        <axPos val="t"/>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93378071"/>
        <crosses val="autoZero"/>
        <lblOffset val="100"/>
        <baseTimeUnit val="months"/>
      </dateAx>
      <valAx>
        <axId val="93378071"/>
        <scaling>
          <orientation val="minMax"/>
        </scaling>
        <delete val="0"/>
        <axPos val="r"/>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CAC (kr)</a:t>
                </a:r>
              </a:p>
            </rich>
          </tx>
          <overlay val="0"/>
          <spPr>
            <a:noFill xmlns:a="http://schemas.openxmlformats.org/drawingml/2006/main"/>
            <a:ln xmlns:a="http://schemas.openxmlformats.org/drawingml/2006/main" w="0">
              <a:noFill/>
              <a:prstDash val="solid"/>
            </a:ln>
          </spPr>
        </title>
        <numFmt formatCode="#,##0&quot; kr&quot;"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57907455"/>
        <crosses val="max"/>
        <crossBetween val="between"/>
      </valAx>
    </plotArea>
    <legend>
      <legendPos val="b"/>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2.xml><?xml version="1.0" encoding="utf-8"?>
<chartSpace xmlns="http://schemas.openxmlformats.org/drawingml/2006/chart">
  <chart>
    <plotArea>
      <barChart>
        <barDir val="bar"/>
        <grouping val="clustered"/>
        <varyColors val="0"/>
        <ser>
          <idx val="0"/>
          <order val="0"/>
          <tx>
            <strRef>
              <f>"CAC (kr)"</f>
              <strCache>
                <ptCount val="1"/>
                <pt idx="0">
                  <v>CAC (kr)</v>
                </pt>
              </strCache>
            </strRef>
          </tx>
          <spPr>
            <a:solidFill xmlns:a="http://schemas.openxmlformats.org/drawingml/2006/main">
              <a:srgbClr val="0d9488"/>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dLblPos val="outEnd"/>
            <showLegendKey val="1"/>
            <showVal val="0"/>
            <showCatName val="0"/>
            <showSerName val="0"/>
            <showPercent val="0"/>
            <showLeaderLines val="0"/>
          </dLbls>
          <cat>
            <multiLvlStrRef>
              <multiLvlStrCache>
                <lvl>
                  <pt idx="0">
                    <v>Other (internal)</v>
                  </pt>
                </lvl>
                <lvl>
                  <pt idx="0">
                    <v>Werner (LinkedIn)</v>
                  </pt>
                </lvl>
                <lvl>
                  <pt idx="0">
                    <v>TV2</v>
                  </pt>
                </lvl>
                <lvl>
                  <pt idx="0">
                    <v>Influencers</v>
                  </pt>
                </lvl>
                <lvl>
                  <pt idx="0">
                    <v>Affiliates</v>
                  </pt>
                </lvl>
                <lvl>
                  <pt idx="0">
                    <v>Youtube</v>
                  </pt>
                </lvl>
                <lvl>
                  <pt idx="0">
                    <v>LinkedIn</v>
                  </pt>
                </lvl>
                <lvl>
                  <pt idx="0">
                    <v>Brand search</v>
                  </pt>
                </lvl>
                <lvl>
                  <pt idx="0">
                    <v>Google</v>
                  </pt>
                </lvl>
                <lvl>
                  <pt idx="0">
                    <v>Meta</v>
                  </pt>
                </lvl>
              </multiLvlStrCache>
              <f>Rapport!$B$83:$K$83</f>
            </multiLvlStrRef>
          </cat>
          <val>
            <numRef>
              <f>Rapport!$B$84:$K$84</f>
              <numCache>
                <formatCode>General</formatCode>
                <ptCount val="10"/>
                <pt idx="0">
                  <v>312.997572815534</v>
                </pt>
                <pt idx="1">
                  <v>159.429906542056</v>
                </pt>
                <pt idx="2">
                  <v>6.63245283018868</v>
                </pt>
                <pt idx="3">
                  <v>0</v>
                </pt>
                <pt idx="4">
                  <v>0</v>
                </pt>
                <pt idx="5">
                  <v>500</v>
                </pt>
                <pt idx="6">
                  <v>0</v>
                </pt>
                <pt idx="7">
                  <v>0</v>
                </pt>
                <pt idx="8">
                  <v>0</v>
                </pt>
                <pt idx="9">
                  <v>0</v>
                </pt>
              </numCache>
            </numRef>
          </val>
        </ser>
        <gapWidth val="150"/>
        <overlap val="0"/>
        <axId val="55411938"/>
        <axId val="98172424"/>
      </barChart>
      <catAx>
        <axId val="55411938"/>
        <scaling>
          <orientation val="minMax"/>
        </scaling>
        <delete val="0"/>
        <axPos val="b"/>
        <numFmt formatCode="#,##0&quot; kr&quot;"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98172424"/>
        <crosses val="autoZero"/>
        <auto val="1"/>
        <lblAlgn val="ctr"/>
        <lblOffset val="100"/>
        <noMultiLvlLbl val="0"/>
      </catAx>
      <valAx>
        <axId val="98172424"/>
        <scaling>
          <orientation val="minMax"/>
        </scaling>
        <delete val="0"/>
        <axPos val="l"/>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55411938"/>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3.xml><?xml version="1.0" encoding="utf-8"?>
<chartSpace xmlns="http://schemas.openxmlformats.org/drawingml/2006/chart">
  <chart>
    <plotArea>
      <barChart>
        <barDir val="bar"/>
        <grouping val="clustered"/>
        <varyColors val="0"/>
        <ser>
          <idx val="0"/>
          <order val="0"/>
          <tx>
            <strRef>
              <f>"Spend (kr)"</f>
              <strCache>
                <ptCount val="1"/>
                <pt idx="0">
                  <v>Spend (kr)</v>
                </pt>
              </strCache>
            </strRef>
          </tx>
          <spPr>
            <a:solidFill xmlns:a="http://schemas.openxmlformats.org/drawingml/2006/main">
              <a:srgbClr val="3b82f6"/>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dLblPos val="outEnd"/>
            <showLegendKey val="1"/>
            <showVal val="0"/>
            <showCatName val="0"/>
            <showSerName val="0"/>
            <showPercent val="0"/>
            <showLeaderLines val="0"/>
          </dLbls>
          <cat>
            <multiLvlStrRef>
              <multiLvlStrCache>
                <lvl>
                  <pt idx="0">
                    <v>Other (internal)</v>
                  </pt>
                </lvl>
                <lvl>
                  <pt idx="0">
                    <v>Werner (LinkedIn)</v>
                  </pt>
                </lvl>
                <lvl>
                  <pt idx="0">
                    <v>TV2</v>
                  </pt>
                </lvl>
                <lvl>
                  <pt idx="0">
                    <v>Influencers</v>
                  </pt>
                </lvl>
                <lvl>
                  <pt idx="0">
                    <v>Affiliates</v>
                  </pt>
                </lvl>
                <lvl>
                  <pt idx="0">
                    <v>Youtube</v>
                  </pt>
                </lvl>
                <lvl>
                  <pt idx="0">
                    <v>LinkedIn</v>
                  </pt>
                </lvl>
                <lvl>
                  <pt idx="0">
                    <v>Brand search</v>
                  </pt>
                </lvl>
                <lvl>
                  <pt idx="0">
                    <v>Google</v>
                  </pt>
                </lvl>
                <lvl>
                  <pt idx="0">
                    <v>Meta</v>
                  </pt>
                </lvl>
              </multiLvlStrCache>
              <f>Rapport!$B$85:$K$85</f>
            </multiLvlStrRef>
          </cat>
          <val>
            <numRef>
              <f>Rapport!$B$86:$K$86</f>
              <numCache>
                <formatCode>General</formatCode>
                <ptCount val="10"/>
                <pt idx="0">
                  <v>128955</v>
                </pt>
                <pt idx="1">
                  <v>17059</v>
                </pt>
                <pt idx="2">
                  <v>8788</v>
                </pt>
                <pt idx="3">
                  <v>0</v>
                </pt>
                <pt idx="4">
                  <v>0</v>
                </pt>
                <pt idx="5">
                  <v>316500</v>
                </pt>
                <pt idx="6">
                  <v>0</v>
                </pt>
                <pt idx="7">
                  <v>0</v>
                </pt>
                <pt idx="8">
                  <v>0</v>
                </pt>
                <pt idx="9">
                  <v>0</v>
                </pt>
              </numCache>
            </numRef>
          </val>
        </ser>
        <gapWidth val="150"/>
        <overlap val="0"/>
        <axId val="78381551"/>
        <axId val="33279198"/>
      </barChart>
      <catAx>
        <axId val="78381551"/>
        <scaling>
          <orientation val="minMax"/>
        </scaling>
        <delete val="0"/>
        <axPos val="b"/>
        <numFmt formatCode="#,##0&quot; kr&quot;"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33279198"/>
        <crosses val="autoZero"/>
        <auto val="1"/>
        <lblAlgn val="ctr"/>
        <lblOffset val="100"/>
        <noMultiLvlLbl val="0"/>
      </catAx>
      <valAx>
        <axId val="33279198"/>
        <scaling>
          <orientation val="minMax"/>
        </scaling>
        <delete val="0"/>
        <axPos val="l"/>
        <majorGridlines>
          <spPr>
            <a:ln xmlns:a="http://schemas.openxmlformats.org/drawingml/2006/main" w="0">
              <a:solidFill>
                <a:srgbClr val="b3b3b3"/>
              </a:solidFill>
              <a:prstDash val="solid"/>
            </a:ln>
          </spPr>
        </majorGridlines>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78381551"/>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4.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Partner sign-ups (12M)</a:t>
            </a:r>
          </a:p>
        </rich>
      </tx>
      <overlay val="0"/>
      <spPr>
        <a:noFill xmlns:a="http://schemas.openxmlformats.org/drawingml/2006/main"/>
        <a:ln xmlns:a="http://schemas.openxmlformats.org/drawingml/2006/main" w="0">
          <a:noFill/>
          <a:prstDash val="solid"/>
        </a:ln>
      </spPr>
    </title>
    <plotArea>
      <lineChart>
        <grouping val="standard"/>
        <varyColors val="0"/>
        <ser>
          <idx val="0"/>
          <order val="0"/>
          <tx>
            <strRef>
              <f>"Partner sign-ups"</f>
              <strCache>
                <ptCount val="1"/>
                <pt idx="0">
                  <v>Partner sign-ups</v>
                </pt>
              </strCache>
            </strRef>
          </tx>
          <spPr>
            <a:solidFill xmlns:a="http://schemas.openxmlformats.org/drawingml/2006/main">
              <a:srgbClr val="0d9488"/>
            </a:solidFill>
            <a:ln xmlns:a="http://schemas.openxmlformats.org/drawingml/2006/main" w="21960">
              <a:solidFill>
                <a:srgbClr val="0d9488"/>
              </a:solidFill>
              <a:prstDash val="solid"/>
              <a:round/>
            </a:ln>
          </spPr>
          <marker>
            <symbol val="none"/>
            <spPr>
              <a:ln xmlns:a="http://schemas.openxmlformats.org/drawingml/2006/main">
                <a:prstDash val="solid"/>
              </a:ln>
            </spPr>
          </marker>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dLblPos val="r"/>
            <showLegendKey val="1"/>
            <showVal val="0"/>
            <showCatName val="0"/>
            <showSerName val="0"/>
            <showPercent val="0"/>
            <showLeaderLines val="0"/>
          </dLbls>
          <cat>
            <multiLvlStrRef>
              <multiLvlStrCache>
                <lvl>
                  <pt idx="0">
                    <v>Mar-26</v>
                  </pt>
                </lvl>
                <lvl>
                  <pt idx="0">
                    <v>Feb-26</v>
                  </pt>
                </lvl>
                <lvl>
                  <pt idx="0">
                    <v>Jan-26</v>
                  </pt>
                </lvl>
                <lvl>
                  <pt idx="0">
                    <v>Dec-25</v>
                  </pt>
                </lvl>
                <lvl>
                  <pt idx="0">
                    <v>Nov-25</v>
                  </pt>
                </lvl>
                <lvl>
                  <pt idx="0">
                    <v>Oct-25</v>
                  </pt>
                </lvl>
                <lvl>
                  <pt idx="0">
                    <v>Sep-25</v>
                  </pt>
                </lvl>
                <lvl>
                  <pt idx="0">
                    <v>Aug-25</v>
                  </pt>
                </lvl>
                <lvl>
                  <pt idx="0">
                    <v>Jul-25</v>
                  </pt>
                </lvl>
                <lvl>
                  <pt idx="0">
                    <v>Jun-25</v>
                  </pt>
                </lvl>
                <lvl>
                  <pt idx="0">
                    <v>May-25</v>
                  </pt>
                </lvl>
                <lvl>
                  <pt idx="0">
                    <v>Apr-25</v>
                  </pt>
                </lvl>
              </multiLvlStrCache>
              <f>Input!$K$3:$V$3</f>
            </multiLvlStrRef>
          </cat>
          <val>
            <numRef>
              <f>Input!$K$100:$V$100</f>
              <numCache>
                <formatCode>#,##0</formatCode>
                <ptCount val="12"/>
                <pt idx="0">
                  <v>54</v>
                </pt>
                <pt idx="1">
                  <v>75</v>
                </pt>
                <pt idx="2">
                  <v>50</v>
                </pt>
                <pt idx="3">
                  <v>51</v>
                </pt>
                <pt idx="4">
                  <v>44</v>
                </pt>
                <pt idx="5">
                  <v>31</v>
                </pt>
                <pt idx="6">
                  <v>39</v>
                </pt>
                <pt idx="7">
                  <v>162</v>
                </pt>
                <pt idx="8">
                  <v>105</v>
                </pt>
                <pt idx="9">
                  <v>351</v>
                </pt>
                <pt idx="10">
                  <v>419</v>
                </pt>
                <pt idx="11">
                  <v>382</v>
                </pt>
              </numCache>
            </numRef>
          </val>
          <smooth val="1"/>
        </ser>
        <hiLowLines>
          <spPr>
            <a:ln xmlns:a="http://schemas.openxmlformats.org/drawingml/2006/main" w="0">
              <a:noFill/>
              <a:prstDash val="solid"/>
            </a:ln>
          </spPr>
        </hiLowLines>
        <marker val="0"/>
        <axId val="12541057"/>
        <axId val="33098113"/>
      </lineChart>
      <dateAx>
        <axId val="12541057"/>
        <scaling>
          <orientation val="minMax"/>
        </scaling>
        <delete val="0"/>
        <axPos val="b"/>
        <numFmt formatCode="mmm\-yy"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33098113"/>
        <crosses val="autoZero"/>
        <lblOffset val="100"/>
        <baseTimeUnit val="months"/>
      </dateAx>
      <valAx>
        <axId val="33098113"/>
        <scaling>
          <orientation val="minMax"/>
        </scaling>
        <delete val="0"/>
        <axPos val="l"/>
        <numFmt formatCode="#,##0"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12541057"/>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5.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Regningstjek uploads (12M)</a:t>
            </a:r>
          </a:p>
        </rich>
      </tx>
      <overlay val="0"/>
      <spPr>
        <a:noFill xmlns:a="http://schemas.openxmlformats.org/drawingml/2006/main"/>
        <a:ln xmlns:a="http://schemas.openxmlformats.org/drawingml/2006/main" w="0">
          <a:noFill/>
          <a:prstDash val="solid"/>
        </a:ln>
      </spPr>
    </title>
    <plotArea>
      <lineChart>
        <grouping val="standard"/>
        <varyColors val="0"/>
        <ser>
          <idx val="0"/>
          <order val="0"/>
          <tx>
            <strRef>
              <f>"Uploads"</f>
              <strCache>
                <ptCount val="1"/>
                <pt idx="0">
                  <v>Uploads</v>
                </pt>
              </strCache>
            </strRef>
          </tx>
          <spPr>
            <a:solidFill xmlns:a="http://schemas.openxmlformats.org/drawingml/2006/main">
              <a:srgbClr val="3b82f6"/>
            </a:solidFill>
            <a:ln xmlns:a="http://schemas.openxmlformats.org/drawingml/2006/main" w="21960">
              <a:solidFill>
                <a:srgbClr val="3b82f6"/>
              </a:solidFill>
              <a:prstDash val="solid"/>
              <a:round/>
            </a:ln>
          </spPr>
          <marker>
            <symbol val="none"/>
            <spPr>
              <a:ln xmlns:a="http://schemas.openxmlformats.org/drawingml/2006/main">
                <a:prstDash val="solid"/>
              </a:ln>
            </spPr>
          </marker>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dLblPos val="r"/>
            <showLegendKey val="1"/>
            <showVal val="0"/>
            <showCatName val="0"/>
            <showSerName val="0"/>
            <showPercent val="0"/>
            <showLeaderLines val="0"/>
          </dLbls>
          <cat>
            <multiLvlStrRef>
              <multiLvlStrCache>
                <lvl>
                  <pt idx="0">
                    <v>Mar-26</v>
                  </pt>
                </lvl>
                <lvl>
                  <pt idx="0">
                    <v>Feb-26</v>
                  </pt>
                </lvl>
                <lvl>
                  <pt idx="0">
                    <v>Jan-26</v>
                  </pt>
                </lvl>
                <lvl>
                  <pt idx="0">
                    <v>Dec-25</v>
                  </pt>
                </lvl>
                <lvl>
                  <pt idx="0">
                    <v>Nov-25</v>
                  </pt>
                </lvl>
                <lvl>
                  <pt idx="0">
                    <v>Oct-25</v>
                  </pt>
                </lvl>
                <lvl>
                  <pt idx="0">
                    <v>Sep-25</v>
                  </pt>
                </lvl>
                <lvl>
                  <pt idx="0">
                    <v>Aug-25</v>
                  </pt>
                </lvl>
                <lvl>
                  <pt idx="0">
                    <v>Jul-25</v>
                  </pt>
                </lvl>
                <lvl>
                  <pt idx="0">
                    <v>Jun-25</v>
                  </pt>
                </lvl>
                <lvl>
                  <pt idx="0">
                    <v>May-25</v>
                  </pt>
                </lvl>
                <lvl>
                  <pt idx="0">
                    <v>Apr-25</v>
                  </pt>
                </lvl>
              </multiLvlStrCache>
              <f>Input!$K$3:$V$3</f>
            </multiLvlStrRef>
          </cat>
          <val>
            <numRef>
              <f>Input!$K$104:$V$104</f>
              <numCache>
                <formatCode>#,##0</formatCode>
                <ptCount val="12"/>
                <pt idx="0">
                  <v>334</v>
                </pt>
                <pt idx="1">
                  <v>326</v>
                </pt>
                <pt idx="2">
                  <v>270</v>
                </pt>
                <pt idx="3">
                  <v>205</v>
                </pt>
                <pt idx="4">
                  <v>210</v>
                </pt>
                <pt idx="5">
                  <v>208</v>
                </pt>
                <pt idx="6">
                  <v>309</v>
                </pt>
                <pt idx="7">
                  <v>407</v>
                </pt>
                <pt idx="8">
                  <v>238</v>
                </pt>
                <pt idx="9">
                  <v>375</v>
                </pt>
                <pt idx="10">
                  <v>443</v>
                </pt>
                <pt idx="11">
                  <v>304</v>
                </pt>
              </numCache>
            </numRef>
          </val>
          <smooth val="1"/>
        </ser>
        <hiLowLines>
          <spPr>
            <a:ln xmlns:a="http://schemas.openxmlformats.org/drawingml/2006/main" w="0">
              <a:noFill/>
              <a:prstDash val="solid"/>
            </a:ln>
          </spPr>
        </hiLowLines>
        <marker val="0"/>
        <axId val="82519521"/>
        <axId val="60501339"/>
      </lineChart>
      <dateAx>
        <axId val="82519521"/>
        <scaling>
          <orientation val="minMax"/>
        </scaling>
        <delete val="0"/>
        <axPos val="b"/>
        <numFmt formatCode="mmm\-yy"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60501339"/>
        <crosses val="autoZero"/>
        <lblOffset val="100"/>
        <baseTimeUnit val="months"/>
      </dateAx>
      <valAx>
        <axId val="60501339"/>
        <scaling>
          <orientation val="minMax"/>
        </scaling>
        <delete val="0"/>
        <axPos val="l"/>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82519521"/>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twoCellAnchor editAs="oneCell">
    <from>
      <col>1</col>
      <colOff>0</colOff>
      <row>13</row>
      <rowOff>0</rowOff>
    </from>
    <to>
      <col>32</col>
      <colOff>221040</colOff>
      <row>26</row>
      <rowOff>101160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0</colOff>
      <row>67</row>
      <rowOff>0</rowOff>
    </from>
    <to>
      <col>16</col>
      <colOff>231120</colOff>
      <row>81</row>
      <rowOff>63000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16</col>
      <colOff>0</colOff>
      <row>67</row>
      <rowOff>0</rowOff>
    </from>
    <to>
      <col>31</col>
      <colOff>231480</colOff>
      <row>81</row>
      <rowOff>63000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editAs="oneCell">
    <from>
      <col>1</col>
      <colOff>0</colOff>
      <row>114</row>
      <rowOff>0</rowOff>
    </from>
    <to>
      <col>16</col>
      <colOff>231120</colOff>
      <row>123</row>
      <rowOff>150480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editAs="oneCell">
    <from>
      <col>16</col>
      <colOff>0</colOff>
      <row>114</row>
      <rowOff>0</rowOff>
    </from>
    <to>
      <col>31</col>
      <colOff>231480</colOff>
      <row>123</row>
      <rowOff>150480</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outlinePr summaryBelow="1" summaryRight="1"/>
    <pageSetUpPr fitToPage="0"/>
  </sheetPr>
  <dimension ref="B2:E3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cols>
    <col width="2" customWidth="1" style="117" min="1" max="1"/>
    <col width="36" customWidth="1" style="117" min="2" max="2"/>
    <col width="18" customWidth="1" style="117" min="3" max="3"/>
    <col width="50" customWidth="1" style="117" min="4" max="4"/>
  </cols>
  <sheetData>
    <row r="2" ht="25.5" customHeight="1" s="118">
      <c r="B2" s="119" t="inlineStr">
        <is>
          <t>KONFIGURATION</t>
        </is>
      </c>
    </row>
    <row r="4" ht="19.5" customHeight="1" s="118">
      <c r="B4" s="120" t="inlineStr">
        <is>
          <t>NØGLETAL</t>
        </is>
      </c>
    </row>
    <row r="5" ht="15" customHeight="1" s="118">
      <c r="B5" s="121" t="inlineStr">
        <is>
          <t>Value per customer (kr.)</t>
        </is>
      </c>
      <c r="C5" s="122" t="n">
        <v>1000</v>
      </c>
      <c r="D5" s="123" t="inlineStr">
        <is>
          <t>Estimeret livstidsværdi pr. kunde</t>
        </is>
      </c>
    </row>
    <row r="6" ht="15" customHeight="1" s="118">
      <c r="B6" s="121" t="inlineStr">
        <is>
          <t>Timepris partnerskab (kr.)</t>
        </is>
      </c>
      <c r="C6" s="122" t="n">
        <v>800</v>
      </c>
      <c r="D6" s="123" t="inlineStr">
        <is>
          <t>Kontrakteret timepris til Meliora Ventures</t>
        </is>
      </c>
    </row>
    <row r="7" ht="15" customHeight="1" s="118">
      <c r="B7" s="121" t="inlineStr">
        <is>
          <t>CMO omkostning (kr./md.)</t>
        </is>
      </c>
      <c r="C7" s="122" t="n">
        <v>24000</v>
      </c>
      <c r="D7" s="123" t="inlineStr">
        <is>
          <t>80% allokeret til partnerskabs-kanal (30.000 * 0,8)</t>
        </is>
      </c>
    </row>
    <row r="8" ht="15" customHeight="1" s="118">
      <c r="B8" s="121" t="inlineStr">
        <is>
          <t>Kontrakterede timer (total)</t>
        </is>
      </c>
      <c r="C8" s="122" t="n">
        <v>700</v>
      </c>
      <c r="D8" s="123" t="inlineStr">
        <is>
          <t>Samlet contracted hours i nuværende aftale</t>
        </is>
      </c>
    </row>
    <row r="9" ht="15" customHeight="1" s="118">
      <c r="B9" s="121" t="inlineStr">
        <is>
          <t>Mål-CAC (kr.)</t>
        </is>
      </c>
      <c r="C9" s="122" t="n">
        <v>500</v>
      </c>
      <c r="D9" s="123" t="inlineStr">
        <is>
          <t>Acceptabel CAC pr. nye kunde</t>
        </is>
      </c>
    </row>
    <row r="10" ht="15" customHeight="1" s="118">
      <c r="B10" s="121" t="inlineStr">
        <is>
          <t>Mål-CVR (%)</t>
        </is>
      </c>
      <c r="C10" s="124" t="n">
        <v>0.04</v>
      </c>
      <c r="D10" s="123" t="inlineStr">
        <is>
          <t>Mål conversion rate for betalte kanaler</t>
        </is>
      </c>
    </row>
    <row r="12" ht="19.5" customHeight="1" s="118">
      <c r="B12" s="125" t="inlineStr">
        <is>
          <t>STRATEGISKE PARAMETRE</t>
        </is>
      </c>
    </row>
    <row r="13" ht="19.5" customHeight="1" s="118">
      <c r="B13" s="126" t="inlineStr">
        <is>
          <t>LTV pr. kunde (kr.)</t>
        </is>
      </c>
      <c r="C13" s="127" t="n">
        <v>3600</v>
      </c>
      <c r="D13" s="128" t="inlineStr">
        <is>
          <t>Estimeret samlet livstidsværdi (gross). Default: 4.000 kWh/år × 0,45 kr margin × 2 år</t>
        </is>
      </c>
      <c r="E13" s="129" t="n"/>
    </row>
    <row r="14" ht="15" customHeight="1" s="118">
      <c r="B14" s="126" t="inlineStr">
        <is>
          <t>Bruttomarginal (%)</t>
        </is>
      </c>
      <c r="C14" s="130" t="n">
        <v>0.4</v>
      </c>
      <c r="D14" s="128" t="inlineStr">
        <is>
          <t>Kontributionsmargin pr. kunde efter variable omkostninger</t>
        </is>
      </c>
      <c r="E14" s="129" t="n"/>
    </row>
    <row r="15" ht="15" customHeight="1" s="118">
      <c r="B15" s="126" t="inlineStr">
        <is>
          <t>Gns. kundelevetid (mdr.)</t>
        </is>
      </c>
      <c r="C15" s="131" t="n">
        <v>24</v>
      </c>
      <c r="D15" s="128" t="inlineStr">
        <is>
          <t>Anvendes til CAC payback-beregning</t>
        </is>
      </c>
      <c r="E15" s="129" t="n"/>
    </row>
    <row r="16" ht="15" customHeight="1" s="118">
      <c r="B16" s="126" t="inlineStr">
        <is>
          <t>Mål CAC payback (mdr.)</t>
        </is>
      </c>
      <c r="C16" s="131" t="n">
        <v>12</v>
      </c>
      <c r="D16" s="128" t="inlineStr">
        <is>
          <t>Acceptabel tilbagebetalingstid for CAC</t>
        </is>
      </c>
      <c r="E16" s="129" t="n"/>
    </row>
    <row r="17" ht="15" customHeight="1" s="118">
      <c r="B17" s="126" t="inlineStr">
        <is>
          <t>Månedligt budgetloft (kr.)</t>
        </is>
      </c>
      <c r="C17" s="127" t="n">
        <v>200000</v>
      </c>
      <c r="D17" s="128" t="inlineStr">
        <is>
          <t>Månedligt marketing-budget (total spend target)</t>
        </is>
      </c>
      <c r="E17" s="129" t="n"/>
    </row>
    <row r="18" ht="15" customHeight="1" s="118">
      <c r="B18" s="129" t="n"/>
      <c r="C18" s="129" t="n"/>
      <c r="D18" s="129" t="n"/>
      <c r="E18" s="129" t="n"/>
    </row>
    <row r="19" ht="19.5" customHeight="1" s="118">
      <c r="B19" s="125" t="inlineStr">
        <is>
          <t>STATUS-KODNING</t>
        </is>
      </c>
      <c r="E19" s="129" t="n"/>
    </row>
    <row r="20" ht="15" customHeight="1" s="118">
      <c r="B20" s="132" t="inlineStr">
        <is>
          <t>På sporet (grøn)</t>
        </is>
      </c>
      <c r="C20" s="129" t="n"/>
      <c r="D20" s="133" t="inlineStr">
        <is>
          <t>På mål eller over</t>
        </is>
      </c>
      <c r="E20" s="129" t="n"/>
    </row>
    <row r="21" ht="15" customHeight="1" s="118">
      <c r="B21" s="134" t="inlineStr">
        <is>
          <t>Advarsel (orange)</t>
        </is>
      </c>
      <c r="C21" s="129" t="n"/>
      <c r="D21" s="133" t="inlineStr">
        <is>
          <t>Inden for 10% af målet</t>
        </is>
      </c>
      <c r="E21" s="129" t="n"/>
    </row>
    <row r="22" ht="15" customHeight="1" s="118">
      <c r="B22" s="135" t="inlineStr">
        <is>
          <t>Off-track (rød)</t>
        </is>
      </c>
      <c r="D22" s="133" t="inlineStr">
        <is>
          <t>Mere end 10% fra mål</t>
        </is>
      </c>
    </row>
    <row r="24" ht="19.5" customHeight="1" s="118">
      <c r="B24" s="125" t="inlineStr">
        <is>
          <t>FARVEKODNING (INPUT-ROLLER)</t>
        </is>
      </c>
    </row>
    <row r="25" ht="15" customHeight="1" s="118">
      <c r="B25" s="136" t="inlineStr">
        <is>
          <t>CFO udfylder</t>
        </is>
      </c>
      <c r="D25" s="133" t="inlineStr">
        <is>
          <t>Partnerskabs-timer, løn, timepris, kontraktnøgletal</t>
        </is>
      </c>
    </row>
    <row r="26" ht="15" customHeight="1" s="118">
      <c r="B26" s="136" t="inlineStr">
        <is>
          <t>CMO udfylder</t>
        </is>
      </c>
      <c r="D26" s="133" t="inlineStr">
        <is>
          <t>Kanal-spend, impressions, traffic, clients, Regningstjek-input</t>
        </is>
      </c>
    </row>
    <row r="27" ht="15" customHeight="1" s="118">
      <c r="B27" s="137" t="inlineStr">
        <is>
          <t>Beregnet automatisk</t>
        </is>
      </c>
      <c r="D27" s="133" t="inlineStr">
        <is>
          <t>CVR, CAC, totaler, procenter</t>
        </is>
      </c>
    </row>
    <row r="29" ht="15" customHeight="1" s="118">
      <c r="B29" s="117" t="inlineStr">
        <is>
          <t>TOT CAC (regnskab — CFO udfylder)</t>
        </is>
      </c>
    </row>
    <row r="30" ht="15" customHeight="1" s="118">
      <c r="B30" s="117" t="inlineStr">
        <is>
          <t>Tot CAC 3M (kr.)</t>
        </is>
      </c>
      <c r="C30" s="117" t="n">
        <v>208</v>
      </c>
    </row>
    <row r="31" ht="15" customHeight="1" s="118">
      <c r="B31" s="117" t="inlineStr">
        <is>
          <t>Tot CAC 6M (kr.)</t>
        </is>
      </c>
      <c r="C31" s="117" t="n">
        <v>307</v>
      </c>
    </row>
    <row r="32" ht="15" customHeight="1" s="118">
      <c r="B32" s="117" t="inlineStr">
        <is>
          <t>Tot CAC 12M (kr.)</t>
        </is>
      </c>
      <c r="C32" s="117" t="n">
        <v>292</v>
      </c>
    </row>
  </sheetData>
  <mergeCells count="5">
    <mergeCell ref="B19:D19"/>
    <mergeCell ref="B4:D4"/>
    <mergeCell ref="B12:D12"/>
    <mergeCell ref="B24:D24"/>
    <mergeCell ref="B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B2:AH134"/>
  <sheetViews>
    <sheetView showFormulas="0" showGridLines="0" showRowColHeaders="1" showZeros="1" rightToLeft="0" tabSelected="1" showOutlineSymbols="1" defaultGridColor="1" view="normal" topLeftCell="A1" colorId="64" zoomScale="100" zoomScaleNormal="100" zoomScalePageLayoutView="100" workbookViewId="0">
      <pane xSplit="3" ySplit="3" topLeftCell="N105" activePane="bottomRight" state="frozen"/>
      <selection pane="topLeft" activeCell="A1" activeCellId="0" sqref="A1"/>
      <selection pane="topRight" activeCell="N1" activeCellId="0" sqref="N1"/>
      <selection pane="bottomLeft" activeCell="A105" activeCellId="0" sqref="A105"/>
      <selection pane="bottomRight" activeCell="T121" activeCellId="0" sqref="T121"/>
    </sheetView>
  </sheetViews>
  <sheetFormatPr baseColWidth="8" defaultColWidth="8.66796875" defaultRowHeight="15" zeroHeight="0" outlineLevelRow="0"/>
  <cols>
    <col width="1.51" customWidth="1" style="117" min="1" max="1"/>
    <col width="22" customWidth="1" style="117" min="2" max="2"/>
    <col width="15" customWidth="1" style="117" min="3" max="3"/>
    <col width="12" customWidth="1" style="117" min="4" max="22"/>
    <col width="13" customWidth="1" style="117" min="23" max="34"/>
  </cols>
  <sheetData>
    <row r="2" ht="25.5" customHeight="1" s="118">
      <c r="B2" s="119" t="inlineStr">
        <is>
          <t>INPUT — MÅNEDLIGE MARKETINGDATA</t>
        </is>
      </c>
    </row>
    <row r="3" ht="21.75" customHeight="1" s="118">
      <c r="B3" s="138" t="inlineStr">
        <is>
          <t>Kanal</t>
        </is>
      </c>
      <c r="C3" s="138" t="inlineStr">
        <is>
          <t>Metric</t>
        </is>
      </c>
      <c r="D3" s="139" t="n">
        <v>45565</v>
      </c>
      <c r="E3" s="139" t="n">
        <v>45596</v>
      </c>
      <c r="F3" s="139" t="n">
        <v>45626</v>
      </c>
      <c r="G3" s="139" t="n">
        <v>45657</v>
      </c>
      <c r="H3" s="139" t="n">
        <v>45688</v>
      </c>
      <c r="I3" s="139" t="n">
        <v>45716</v>
      </c>
      <c r="J3" s="139" t="n">
        <v>45747</v>
      </c>
      <c r="K3" s="139" t="n">
        <v>45777</v>
      </c>
      <c r="L3" s="139" t="n">
        <v>45808</v>
      </c>
      <c r="M3" s="139" t="n">
        <v>45838</v>
      </c>
      <c r="N3" s="139" t="n">
        <v>45869</v>
      </c>
      <c r="O3" s="139" t="n">
        <v>45900</v>
      </c>
      <c r="P3" s="139" t="n">
        <v>45930</v>
      </c>
      <c r="Q3" s="139" t="n">
        <v>45961</v>
      </c>
      <c r="R3" s="139" t="n">
        <v>45991</v>
      </c>
      <c r="S3" s="139" t="n">
        <v>46022</v>
      </c>
      <c r="T3" s="139" t="n">
        <v>46053</v>
      </c>
      <c r="U3" s="139" t="n">
        <v>46081</v>
      </c>
      <c r="V3" s="139" t="n">
        <v>46112</v>
      </c>
      <c r="W3" s="139" t="n">
        <v>46142</v>
      </c>
      <c r="X3" s="139" t="n">
        <v>46173</v>
      </c>
      <c r="Y3" s="139" t="n">
        <v>46203</v>
      </c>
      <c r="Z3" s="139" t="n">
        <v>46234</v>
      </c>
      <c r="AA3" s="139" t="n">
        <v>46265</v>
      </c>
      <c r="AB3" s="139" t="n">
        <v>46295</v>
      </c>
      <c r="AC3" s="139" t="n">
        <v>46326</v>
      </c>
      <c r="AD3" s="139" t="n">
        <v>46356</v>
      </c>
      <c r="AE3" s="139" t="n">
        <v>46387</v>
      </c>
      <c r="AF3" s="139" t="n">
        <v>46418</v>
      </c>
      <c r="AG3" s="139" t="n">
        <v>46446</v>
      </c>
      <c r="AH3" s="139" t="n">
        <v>46477</v>
      </c>
    </row>
    <row r="4" ht="18" customHeight="1" s="118">
      <c r="B4" s="140" t="inlineStr">
        <is>
          <t>▪ PAID MARKETING</t>
        </is>
      </c>
    </row>
    <row r="5" ht="15" customHeight="1" s="118">
      <c r="B5" s="141" t="inlineStr">
        <is>
          <t>Meta</t>
        </is>
      </c>
      <c r="C5" s="142" t="inlineStr">
        <is>
          <t>Cost (kr.)</t>
        </is>
      </c>
      <c r="D5" s="149" t="n">
        <v>7021</v>
      </c>
      <c r="E5" s="149" t="n">
        <v>10594</v>
      </c>
      <c r="F5" s="149" t="n">
        <v>18699</v>
      </c>
      <c r="G5" s="149" t="n">
        <v>19671</v>
      </c>
      <c r="H5" s="149" t="n">
        <v>159609</v>
      </c>
      <c r="I5" s="149" t="n">
        <v>39824</v>
      </c>
      <c r="J5" s="149" t="n">
        <v>47261</v>
      </c>
      <c r="K5" s="149" t="n">
        <v>30571</v>
      </c>
      <c r="L5" s="149" t="n">
        <v>42544</v>
      </c>
      <c r="M5" s="149" t="n">
        <v>27176</v>
      </c>
      <c r="N5" s="149" t="n">
        <v>25063</v>
      </c>
      <c r="O5" s="149" t="n">
        <v>23282</v>
      </c>
      <c r="P5" s="149" t="n">
        <v>17800</v>
      </c>
      <c r="Q5" s="149" t="n">
        <v>41600</v>
      </c>
      <c r="R5" s="149" t="n">
        <v>128946</v>
      </c>
      <c r="S5" s="149" t="n">
        <v>15444</v>
      </c>
      <c r="T5" s="149" t="n">
        <v>40422</v>
      </c>
      <c r="U5" s="149" t="n">
        <v>41894</v>
      </c>
      <c r="V5" s="149" t="n">
        <v>46639</v>
      </c>
      <c r="W5" s="149" t="n">
        <v>53431</v>
      </c>
      <c r="X5" s="149" t="n">
        <v>43242</v>
      </c>
      <c r="Y5" s="149" t="n">
        <v>44861</v>
      </c>
      <c r="Z5" s="149" t="n">
        <v>15618</v>
      </c>
      <c r="AA5" s="149" t="n">
        <v>16284</v>
      </c>
      <c r="AB5" s="149" t="n"/>
      <c r="AC5" s="149" t="n"/>
      <c r="AD5" s="149" t="n"/>
      <c r="AE5" s="149" t="n"/>
      <c r="AF5" s="149" t="n"/>
      <c r="AG5" s="149" t="n"/>
      <c r="AH5" s="149" t="n"/>
    </row>
    <row r="6" ht="15" customHeight="1" s="118">
      <c r="C6" s="142" t="inlineStr">
        <is>
          <t>Impressions</t>
        </is>
      </c>
      <c r="D6" s="149" t="n">
        <v>62418</v>
      </c>
      <c r="E6" s="149" t="n">
        <v>76931</v>
      </c>
      <c r="F6" s="149" t="n">
        <v>106459</v>
      </c>
      <c r="G6" s="149" t="n">
        <v>135899</v>
      </c>
      <c r="H6" s="149" t="n">
        <v>1483620</v>
      </c>
      <c r="I6" s="149" t="n">
        <v>315000</v>
      </c>
      <c r="J6" s="149" t="n">
        <v>370000</v>
      </c>
      <c r="K6" s="149" t="n">
        <v>254000</v>
      </c>
      <c r="L6" s="149" t="n">
        <v>322000</v>
      </c>
      <c r="M6" s="149" t="n">
        <v>80248</v>
      </c>
      <c r="N6" s="149" t="n">
        <v>197000</v>
      </c>
      <c r="O6" s="149" t="n">
        <v>225807</v>
      </c>
      <c r="P6" s="149" t="n">
        <v>169000</v>
      </c>
      <c r="Q6" s="149" t="n">
        <v>349000</v>
      </c>
      <c r="R6" s="149" t="n">
        <v>850326</v>
      </c>
      <c r="S6" s="149" t="n">
        <v>118000</v>
      </c>
      <c r="T6" s="149" t="n">
        <v>375500</v>
      </c>
      <c r="U6" s="149" t="n">
        <v>345000</v>
      </c>
      <c r="V6" s="149" t="n">
        <v>420000</v>
      </c>
      <c r="W6" s="149" t="n">
        <v>641000</v>
      </c>
      <c r="X6" s="149" t="n">
        <v>404000</v>
      </c>
      <c r="Y6" s="149" t="n">
        <v>545000</v>
      </c>
      <c r="Z6" s="149" t="n">
        <v>191437</v>
      </c>
      <c r="AA6" s="149" t="n">
        <v>188552</v>
      </c>
      <c r="AB6" s="149" t="n"/>
      <c r="AC6" s="149" t="n"/>
      <c r="AD6" s="149" t="n"/>
      <c r="AE6" s="149" t="n"/>
      <c r="AF6" s="149" t="n"/>
      <c r="AG6" s="149" t="n"/>
      <c r="AH6" s="149" t="n"/>
    </row>
    <row r="7" ht="15" customHeight="1" s="118">
      <c r="C7" s="142" t="inlineStr">
        <is>
          <t>Traffic</t>
        </is>
      </c>
      <c r="D7" s="149" t="n">
        <v>992</v>
      </c>
      <c r="E7" s="149" t="n">
        <v>1755</v>
      </c>
      <c r="F7" s="149" t="n">
        <v>3886</v>
      </c>
      <c r="G7" s="149" t="n">
        <v>6353</v>
      </c>
      <c r="H7" s="149" t="n">
        <v>43416</v>
      </c>
      <c r="I7" s="149" t="n">
        <v>7290</v>
      </c>
      <c r="J7" s="149" t="n">
        <v>7500</v>
      </c>
      <c r="K7" s="149" t="n">
        <v>3857</v>
      </c>
      <c r="L7" s="149" t="n">
        <v>5197</v>
      </c>
      <c r="M7" s="149" t="n">
        <v>3846</v>
      </c>
      <c r="N7" s="149" t="n">
        <v>4264</v>
      </c>
      <c r="O7" s="149" t="n">
        <v>3920</v>
      </c>
      <c r="P7" s="149" t="n">
        <v>3692</v>
      </c>
      <c r="Q7" s="149" t="n">
        <v>4033</v>
      </c>
      <c r="R7" s="149" t="n">
        <v>19468</v>
      </c>
      <c r="S7" s="149" t="n">
        <v>2517</v>
      </c>
      <c r="T7" s="149" t="n">
        <v>3512</v>
      </c>
      <c r="U7" s="149" t="n">
        <v>4514</v>
      </c>
      <c r="V7" s="149" t="n">
        <v>3885</v>
      </c>
      <c r="W7" s="149" t="n">
        <v>5760</v>
      </c>
      <c r="X7" s="149" t="n">
        <v>4669</v>
      </c>
      <c r="Y7" s="149" t="n">
        <v>3658</v>
      </c>
      <c r="Z7" s="149" t="n">
        <v>1392</v>
      </c>
      <c r="AA7" s="149" t="n">
        <v>2860</v>
      </c>
      <c r="AB7" s="149" t="n"/>
      <c r="AC7" s="149" t="n"/>
      <c r="AD7" s="149" t="n"/>
      <c r="AE7" s="149" t="n"/>
      <c r="AF7" s="149" t="n"/>
      <c r="AG7" s="149" t="n"/>
      <c r="AH7" s="149" t="n"/>
    </row>
    <row r="8" ht="15" customHeight="1" s="118">
      <c r="C8" s="142" t="inlineStr">
        <is>
          <t>Clients</t>
        </is>
      </c>
      <c r="D8" s="149" t="n">
        <v>26</v>
      </c>
      <c r="E8" s="149" t="n">
        <v>60</v>
      </c>
      <c r="F8" s="149" t="n">
        <v>69</v>
      </c>
      <c r="G8" s="149" t="n">
        <v>38</v>
      </c>
      <c r="H8" s="149" t="n">
        <v>282</v>
      </c>
      <c r="I8" s="149" t="n">
        <v>90</v>
      </c>
      <c r="J8" s="149" t="n">
        <v>84</v>
      </c>
      <c r="K8" s="149" t="n">
        <v>48</v>
      </c>
      <c r="L8" s="149" t="n">
        <v>58</v>
      </c>
      <c r="M8" s="149" t="n">
        <v>50</v>
      </c>
      <c r="N8" s="149" t="n">
        <v>51</v>
      </c>
      <c r="O8" s="149" t="n">
        <v>44</v>
      </c>
      <c r="P8" s="149" t="n">
        <v>31</v>
      </c>
      <c r="Q8" s="149" t="n">
        <v>39</v>
      </c>
      <c r="R8" s="149" t="n">
        <v>162</v>
      </c>
      <c r="S8" s="149" t="n">
        <v>45</v>
      </c>
      <c r="T8" s="149" t="n">
        <v>131</v>
      </c>
      <c r="U8" s="149" t="n">
        <v>150</v>
      </c>
      <c r="V8" s="149" t="n">
        <v>131</v>
      </c>
      <c r="W8" s="149" t="n">
        <v>120</v>
      </c>
      <c r="X8" s="149" t="n">
        <v>100</v>
      </c>
      <c r="Y8" s="149" t="n">
        <v>80</v>
      </c>
      <c r="Z8" s="149" t="n">
        <v>62</v>
      </c>
      <c r="AA8" s="149" t="n">
        <v>72</v>
      </c>
      <c r="AB8" s="149" t="n"/>
      <c r="AC8" s="149" t="n"/>
      <c r="AD8" s="149" t="n"/>
      <c r="AE8" s="149" t="n"/>
      <c r="AF8" s="149" t="n"/>
      <c r="AG8" s="149" t="n"/>
      <c r="AH8" s="149" t="n"/>
    </row>
    <row r="9" ht="15" customHeight="1" s="118">
      <c r="C9" s="142" t="inlineStr">
        <is>
          <t>CVR</t>
        </is>
      </c>
      <c r="D9" s="144">
        <f>IFERROR(D8/D7,0)</f>
        <v/>
      </c>
      <c r="E9" s="144">
        <f>IFERROR(E8/E7,0)</f>
        <v/>
      </c>
      <c r="F9" s="144">
        <f>IFERROR(F8/F7,0)</f>
        <v/>
      </c>
      <c r="G9" s="144">
        <f>IFERROR(G8/G7,0)</f>
        <v/>
      </c>
      <c r="H9" s="144">
        <f>IFERROR(H8/H7,0)</f>
        <v/>
      </c>
      <c r="I9" s="144">
        <f>IFERROR(I8/I7,0)</f>
        <v/>
      </c>
      <c r="J9" s="144">
        <f>IFERROR(J8/J7,0)</f>
        <v/>
      </c>
      <c r="K9" s="144">
        <f>IFERROR(K8/K7,0)</f>
        <v/>
      </c>
      <c r="L9" s="144">
        <f>IFERROR(L8/L7,0)</f>
        <v/>
      </c>
      <c r="M9" s="144">
        <f>IFERROR(M8/M7,0)</f>
        <v/>
      </c>
      <c r="N9" s="144">
        <f>IFERROR(N8/N7,0)</f>
        <v/>
      </c>
      <c r="O9" s="144">
        <f>IFERROR(O8/O7,0)</f>
        <v/>
      </c>
      <c r="P9" s="144">
        <f>IFERROR(P8/P7,0)</f>
        <v/>
      </c>
      <c r="Q9" s="144">
        <f>IFERROR(Q8/Q7,0)</f>
        <v/>
      </c>
      <c r="R9" s="144">
        <f>IFERROR(R8/R7,0)</f>
        <v/>
      </c>
      <c r="S9" s="144">
        <f>IFERROR(S8/S7,0)</f>
        <v/>
      </c>
      <c r="T9" s="144">
        <f>IFERROR(T8/T7,0)</f>
        <v/>
      </c>
      <c r="U9" s="144">
        <f>IFERROR(U8/U7,0)</f>
        <v/>
      </c>
      <c r="V9" s="144">
        <f>IFERROR(V8/V7,0)</f>
        <v/>
      </c>
      <c r="W9" s="144">
        <f>IFERROR(W8/W7,0)</f>
        <v/>
      </c>
      <c r="X9" s="144">
        <f>IFERROR(X8/X7,0)</f>
        <v/>
      </c>
      <c r="Y9" s="144">
        <f>IFERROR(Y8/Y7,0)</f>
        <v/>
      </c>
      <c r="Z9" s="144">
        <f>IFERROR(Z8/Z7,0)</f>
        <v/>
      </c>
      <c r="AA9" s="144">
        <f>IFERROR(AA8/AA7,0)</f>
        <v/>
      </c>
      <c r="AB9" s="144">
        <f>IFERROR(AB8/AB7,0)</f>
        <v/>
      </c>
      <c r="AC9" s="144">
        <f>IFERROR(AC8/AC7,0)</f>
        <v/>
      </c>
      <c r="AD9" s="144">
        <f>IFERROR(AD8/AD7,0)</f>
        <v/>
      </c>
      <c r="AE9" s="144">
        <f>IFERROR(AE8/AE7,0)</f>
        <v/>
      </c>
      <c r="AF9" s="144">
        <f>IFERROR(AF8/AF7,0)</f>
        <v/>
      </c>
      <c r="AG9" s="144">
        <f>IFERROR(AG8/AG7,0)</f>
        <v/>
      </c>
      <c r="AH9" s="144">
        <f>IFERROR(AH8/AH7,0)</f>
        <v/>
      </c>
    </row>
    <row r="10" ht="15" customHeight="1" s="118">
      <c r="C10" s="142" t="inlineStr">
        <is>
          <t>CAC (kr.)</t>
        </is>
      </c>
      <c r="D10" s="145">
        <f>IFERROR(D5/D8,0)</f>
        <v/>
      </c>
      <c r="E10" s="145">
        <f>IFERROR(E5/E8,0)</f>
        <v/>
      </c>
      <c r="F10" s="145">
        <f>IFERROR(F5/F8,0)</f>
        <v/>
      </c>
      <c r="G10" s="145">
        <f>IFERROR(G5/G8,0)</f>
        <v/>
      </c>
      <c r="H10" s="145">
        <f>IFERROR(H5/H8,0)</f>
        <v/>
      </c>
      <c r="I10" s="145">
        <f>IFERROR(I5/I8,0)</f>
        <v/>
      </c>
      <c r="J10" s="145">
        <f>IFERROR(J5/J8,0)</f>
        <v/>
      </c>
      <c r="K10" s="145">
        <f>IFERROR(K5/K8,0)</f>
        <v/>
      </c>
      <c r="L10" s="145">
        <f>IFERROR(L5/L8,0)</f>
        <v/>
      </c>
      <c r="M10" s="145">
        <f>IFERROR(M5/M8,0)</f>
        <v/>
      </c>
      <c r="N10" s="145">
        <f>IFERROR(N5/N8,0)</f>
        <v/>
      </c>
      <c r="O10" s="145">
        <f>IFERROR(O5/O8,0)</f>
        <v/>
      </c>
      <c r="P10" s="145">
        <f>IFERROR(P5/P8,0)</f>
        <v/>
      </c>
      <c r="Q10" s="145">
        <f>IFERROR(Q5/Q8,0)</f>
        <v/>
      </c>
      <c r="R10" s="145">
        <f>IFERROR(R5/R8,0)</f>
        <v/>
      </c>
      <c r="S10" s="145">
        <f>IFERROR(S5/S8,0)</f>
        <v/>
      </c>
      <c r="T10" s="145">
        <f>IFERROR(T5/T8,0)</f>
        <v/>
      </c>
      <c r="U10" s="145">
        <f>IFERROR(U5/U8,0)</f>
        <v/>
      </c>
      <c r="V10" s="145">
        <f>IFERROR(V5/V8,0)</f>
        <v/>
      </c>
      <c r="W10" s="145">
        <f>IFERROR(W5/W8,0)</f>
        <v/>
      </c>
      <c r="X10" s="145">
        <f>IFERROR(X5/X8,0)</f>
        <v/>
      </c>
      <c r="Y10" s="145">
        <f>IFERROR(Y5/Y8,0)</f>
        <v/>
      </c>
      <c r="Z10" s="145">
        <f>IFERROR(Z5/Z8,0)</f>
        <v/>
      </c>
      <c r="AA10" s="145">
        <f>IFERROR(AA5/AA8,0)</f>
        <v/>
      </c>
      <c r="AB10" s="145">
        <f>IFERROR(AB5/AB8,0)</f>
        <v/>
      </c>
      <c r="AC10" s="145">
        <f>IFERROR(AC5/AC8,0)</f>
        <v/>
      </c>
      <c r="AD10" s="145">
        <f>IFERROR(AD5/AD8,0)</f>
        <v/>
      </c>
      <c r="AE10" s="145">
        <f>IFERROR(AE5/AE8,0)</f>
        <v/>
      </c>
      <c r="AF10" s="145">
        <f>IFERROR(AF5/AF8,0)</f>
        <v/>
      </c>
      <c r="AG10" s="145">
        <f>IFERROR(AG5/AG8,0)</f>
        <v/>
      </c>
      <c r="AH10" s="145">
        <f>IFERROR(AH5/AH8,0)</f>
        <v/>
      </c>
    </row>
    <row r="12" ht="15" customHeight="1" s="118">
      <c r="B12" s="141" t="inlineStr">
        <is>
          <t>Google</t>
        </is>
      </c>
      <c r="C12" s="142" t="inlineStr">
        <is>
          <t>Cost (kr.)</t>
        </is>
      </c>
      <c r="D12" s="149" t="n">
        <v>3191</v>
      </c>
      <c r="E12" s="149" t="n">
        <v>2292</v>
      </c>
      <c r="F12" s="149" t="n">
        <v>1826</v>
      </c>
      <c r="G12" s="149" t="n">
        <v>3124</v>
      </c>
      <c r="H12" s="149" t="n">
        <v>7997</v>
      </c>
      <c r="I12" s="149" t="n">
        <v>4004</v>
      </c>
      <c r="J12" s="149" t="n"/>
      <c r="K12" s="149" t="n"/>
      <c r="L12" s="149" t="n"/>
      <c r="M12" s="149" t="n"/>
      <c r="N12" s="149" t="n"/>
      <c r="O12" s="149" t="n"/>
      <c r="P12" s="149" t="n"/>
      <c r="Q12" s="149" t="n"/>
      <c r="R12" s="149" t="n"/>
      <c r="S12" s="149" t="n"/>
      <c r="T12" s="149" t="n">
        <v>6070</v>
      </c>
      <c r="U12" s="149" t="n">
        <v>5389</v>
      </c>
      <c r="V12" s="149" t="n">
        <v>5600</v>
      </c>
      <c r="W12" s="149" t="n">
        <v>6086</v>
      </c>
      <c r="X12" s="149" t="n">
        <v>6093</v>
      </c>
      <c r="Y12" s="149" t="n">
        <v>9860</v>
      </c>
      <c r="Z12" s="149" t="n">
        <v>6079</v>
      </c>
      <c r="AA12" s="149" t="n">
        <v>7371</v>
      </c>
      <c r="AB12" s="149" t="n"/>
      <c r="AC12" s="149" t="n"/>
      <c r="AD12" s="149" t="n"/>
      <c r="AE12" s="149" t="n"/>
      <c r="AF12" s="149" t="n"/>
      <c r="AG12" s="149" t="n"/>
      <c r="AH12" s="149" t="n"/>
    </row>
    <row r="13" ht="15" customHeight="1" s="118">
      <c r="C13" s="142" t="inlineStr">
        <is>
          <t>Impressions</t>
        </is>
      </c>
      <c r="D13" s="149" t="n">
        <v>60886</v>
      </c>
      <c r="E13" s="149" t="n">
        <v>29714</v>
      </c>
      <c r="F13" s="149" t="n">
        <v>29210</v>
      </c>
      <c r="G13" s="149" t="n">
        <v>87821</v>
      </c>
      <c r="H13" s="149" t="n">
        <v>376050</v>
      </c>
      <c r="I13" s="149" t="n">
        <v>19400</v>
      </c>
      <c r="J13" s="149" t="n"/>
      <c r="K13" s="149" t="n"/>
      <c r="L13" s="149" t="n"/>
      <c r="M13" s="149" t="n"/>
      <c r="N13" s="149" t="n"/>
      <c r="O13" s="149" t="n"/>
      <c r="P13" s="149" t="n"/>
      <c r="Q13" s="149" t="n"/>
      <c r="R13" s="149" t="n"/>
      <c r="S13" s="149" t="n"/>
      <c r="T13" s="149" t="n">
        <v>2355</v>
      </c>
      <c r="U13" s="149" t="n">
        <v>3071</v>
      </c>
      <c r="V13" s="149" t="n">
        <v>19500</v>
      </c>
      <c r="W13" s="149" t="n">
        <v>8900</v>
      </c>
      <c r="X13" s="149" t="n">
        <v>12000</v>
      </c>
      <c r="Y13" s="149" t="n">
        <v>18000</v>
      </c>
      <c r="Z13" s="149" t="n">
        <v>10756</v>
      </c>
      <c r="AA13" s="149" t="n">
        <v>15817</v>
      </c>
      <c r="AB13" s="149" t="n"/>
      <c r="AC13" s="149" t="n"/>
      <c r="AD13" s="149" t="n"/>
      <c r="AE13" s="149" t="n"/>
      <c r="AF13" s="149" t="n"/>
      <c r="AG13" s="149" t="n"/>
      <c r="AH13" s="149" t="n"/>
    </row>
    <row r="14" ht="15" customHeight="1" s="118">
      <c r="C14" s="142" t="inlineStr">
        <is>
          <t>Traffic</t>
        </is>
      </c>
      <c r="D14" s="149" t="n">
        <v>1035</v>
      </c>
      <c r="E14" s="149" t="n">
        <v>550</v>
      </c>
      <c r="F14" s="149" t="n">
        <v>909</v>
      </c>
      <c r="G14" s="149" t="n">
        <v>2631</v>
      </c>
      <c r="H14" s="149" t="n">
        <v>3476</v>
      </c>
      <c r="I14" s="149" t="n">
        <v>849</v>
      </c>
      <c r="J14" s="149" t="n"/>
      <c r="K14" s="149" t="n"/>
      <c r="L14" s="149" t="n"/>
      <c r="M14" s="149" t="n"/>
      <c r="N14" s="149" t="n"/>
      <c r="O14" s="149" t="n"/>
      <c r="P14" s="149" t="n"/>
      <c r="Q14" s="149" t="n"/>
      <c r="R14" s="149" t="n"/>
      <c r="S14" s="149" t="n"/>
      <c r="T14" s="149" t="n">
        <v>238</v>
      </c>
      <c r="U14" s="149" t="n">
        <v>302</v>
      </c>
      <c r="V14" s="149" t="n">
        <v>8271</v>
      </c>
      <c r="W14" s="149" t="n">
        <v>593</v>
      </c>
      <c r="X14" s="149" t="n">
        <v>705</v>
      </c>
      <c r="Y14" s="149" t="n">
        <v>910</v>
      </c>
      <c r="Z14" s="149" t="n">
        <v>522</v>
      </c>
      <c r="AA14" s="149" t="n">
        <v>801</v>
      </c>
      <c r="AB14" s="149" t="n"/>
      <c r="AC14" s="149" t="n"/>
      <c r="AD14" s="149" t="n"/>
      <c r="AE14" s="149" t="n"/>
      <c r="AF14" s="149" t="n"/>
      <c r="AG14" s="149" t="n"/>
      <c r="AH14" s="149" t="n"/>
    </row>
    <row r="15" ht="15" customHeight="1" s="118">
      <c r="C15" s="142" t="inlineStr">
        <is>
          <t>Clients</t>
        </is>
      </c>
      <c r="D15" s="149" t="n">
        <v>4</v>
      </c>
      <c r="E15" s="149" t="n">
        <v>8</v>
      </c>
      <c r="F15" s="149" t="n">
        <v>8</v>
      </c>
      <c r="G15" s="149" t="n">
        <v>20</v>
      </c>
      <c r="H15" s="149" t="n">
        <v>69</v>
      </c>
      <c r="I15" s="149" t="n">
        <v>13</v>
      </c>
      <c r="J15" s="149" t="n"/>
      <c r="K15" s="149" t="n"/>
      <c r="L15" s="149" t="n"/>
      <c r="M15" s="149" t="n"/>
      <c r="N15" s="149" t="n"/>
      <c r="O15" s="149" t="n"/>
      <c r="P15" s="149" t="n"/>
      <c r="Q15" s="149" t="n"/>
      <c r="R15" s="149" t="n"/>
      <c r="S15" s="149" t="n"/>
      <c r="T15" s="149" t="n">
        <v>28</v>
      </c>
      <c r="U15" s="149" t="n">
        <v>32</v>
      </c>
      <c r="V15" s="149" t="n">
        <v>47</v>
      </c>
      <c r="W15" s="149" t="n">
        <v>41</v>
      </c>
      <c r="X15" s="149" t="n">
        <v>80</v>
      </c>
      <c r="Y15" s="149" t="n">
        <v>74</v>
      </c>
      <c r="Z15" s="149" t="n">
        <v>58</v>
      </c>
      <c r="AA15" s="149" t="n">
        <v>81</v>
      </c>
      <c r="AB15" s="149" t="n"/>
      <c r="AC15" s="149" t="n"/>
      <c r="AD15" s="149" t="n"/>
      <c r="AE15" s="149" t="n"/>
      <c r="AF15" s="149" t="n"/>
      <c r="AG15" s="149" t="n"/>
      <c r="AH15" s="149" t="n"/>
    </row>
    <row r="16" ht="15" customHeight="1" s="118">
      <c r="C16" s="142" t="inlineStr">
        <is>
          <t>CVR</t>
        </is>
      </c>
      <c r="D16" s="144">
        <f>IFERROR(D15/D14,0)</f>
        <v/>
      </c>
      <c r="E16" s="144">
        <f>IFERROR(E15/E14,0)</f>
        <v/>
      </c>
      <c r="F16" s="144">
        <f>IFERROR(F15/F14,0)</f>
        <v/>
      </c>
      <c r="G16" s="144">
        <f>IFERROR(G15/G14,0)</f>
        <v/>
      </c>
      <c r="H16" s="144">
        <f>IFERROR(H15/H14,0)</f>
        <v/>
      </c>
      <c r="I16" s="144">
        <f>IFERROR(I15/I14,0)</f>
        <v/>
      </c>
      <c r="J16" s="144">
        <f>IFERROR(J15/J14,0)</f>
        <v/>
      </c>
      <c r="K16" s="144">
        <f>IFERROR(K15/K14,0)</f>
        <v/>
      </c>
      <c r="L16" s="144">
        <f>IFERROR(L15/L14,0)</f>
        <v/>
      </c>
      <c r="M16" s="144">
        <f>IFERROR(M15/M14,0)</f>
        <v/>
      </c>
      <c r="N16" s="144">
        <f>IFERROR(N15/N14,0)</f>
        <v/>
      </c>
      <c r="O16" s="144">
        <f>IFERROR(O15/O14,0)</f>
        <v/>
      </c>
      <c r="P16" s="144">
        <f>IFERROR(P15/P14,0)</f>
        <v/>
      </c>
      <c r="Q16" s="144">
        <f>IFERROR(Q15/Q14,0)</f>
        <v/>
      </c>
      <c r="R16" s="144">
        <f>IFERROR(R15/R14,0)</f>
        <v/>
      </c>
      <c r="S16" s="144">
        <f>IFERROR(S15/S14,0)</f>
        <v/>
      </c>
      <c r="T16" s="144">
        <f>IFERROR(T15/T14,0)</f>
        <v/>
      </c>
      <c r="U16" s="144">
        <f>IFERROR(U15/U14,0)</f>
        <v/>
      </c>
      <c r="V16" s="144">
        <f>IFERROR(V15/V14,0)</f>
        <v/>
      </c>
      <c r="W16" s="144">
        <f>IFERROR(W15/W14,0)</f>
        <v/>
      </c>
      <c r="X16" s="144">
        <f>IFERROR(X15/X14,0)</f>
        <v/>
      </c>
      <c r="Y16" s="144">
        <f>IFERROR(Y15/Y14,0)</f>
        <v/>
      </c>
      <c r="Z16" s="144">
        <f>IFERROR(Z15/Z14,0)</f>
        <v/>
      </c>
      <c r="AA16" s="144">
        <f>IFERROR(AA15/AA14,0)</f>
        <v/>
      </c>
      <c r="AB16" s="144">
        <f>IFERROR(AB15/AB14,0)</f>
        <v/>
      </c>
      <c r="AC16" s="144">
        <f>IFERROR(AC15/AC14,0)</f>
        <v/>
      </c>
      <c r="AD16" s="144">
        <f>IFERROR(AD15/AD14,0)</f>
        <v/>
      </c>
      <c r="AE16" s="144">
        <f>IFERROR(AE15/AE14,0)</f>
        <v/>
      </c>
      <c r="AF16" s="144">
        <f>IFERROR(AF15/AF14,0)</f>
        <v/>
      </c>
      <c r="AG16" s="144">
        <f>IFERROR(AG15/AG14,0)</f>
        <v/>
      </c>
      <c r="AH16" s="144">
        <f>IFERROR(AH15/AH14,0)</f>
        <v/>
      </c>
    </row>
    <row r="17" ht="15" customHeight="1" s="118">
      <c r="C17" s="142" t="inlineStr">
        <is>
          <t>CAC (kr.)</t>
        </is>
      </c>
      <c r="D17" s="145">
        <f>IFERROR(D12/D15,0)</f>
        <v/>
      </c>
      <c r="E17" s="145">
        <f>IFERROR(E12/E15,0)</f>
        <v/>
      </c>
      <c r="F17" s="145">
        <f>IFERROR(F12/F15,0)</f>
        <v/>
      </c>
      <c r="G17" s="145">
        <f>IFERROR(G12/G15,0)</f>
        <v/>
      </c>
      <c r="H17" s="145">
        <f>IFERROR(H12/H15,0)</f>
        <v/>
      </c>
      <c r="I17" s="145">
        <f>IFERROR(I12/I15,0)</f>
        <v/>
      </c>
      <c r="J17" s="145">
        <f>IFERROR(J12/J15,0)</f>
        <v/>
      </c>
      <c r="K17" s="145">
        <f>IFERROR(K12/K15,0)</f>
        <v/>
      </c>
      <c r="L17" s="145">
        <f>IFERROR(L12/L15,0)</f>
        <v/>
      </c>
      <c r="M17" s="145">
        <f>IFERROR(M12/M15,0)</f>
        <v/>
      </c>
      <c r="N17" s="145">
        <f>IFERROR(N12/N15,0)</f>
        <v/>
      </c>
      <c r="O17" s="145">
        <f>IFERROR(O12/O15,0)</f>
        <v/>
      </c>
      <c r="P17" s="145">
        <f>IFERROR(P12/P15,0)</f>
        <v/>
      </c>
      <c r="Q17" s="145">
        <f>IFERROR(Q12/Q15,0)</f>
        <v/>
      </c>
      <c r="R17" s="145">
        <f>IFERROR(R12/R15,0)</f>
        <v/>
      </c>
      <c r="S17" s="145">
        <f>IFERROR(S12/S15,0)</f>
        <v/>
      </c>
      <c r="T17" s="145">
        <f>IFERROR(T12/T15,0)</f>
        <v/>
      </c>
      <c r="U17" s="145">
        <f>IFERROR(U12/U15,0)</f>
        <v/>
      </c>
      <c r="V17" s="145">
        <f>IFERROR(V12/V15,0)</f>
        <v/>
      </c>
      <c r="W17" s="145">
        <f>IFERROR(W12/W15,0)</f>
        <v/>
      </c>
      <c r="X17" s="145">
        <f>IFERROR(X12/X15,0)</f>
        <v/>
      </c>
      <c r="Y17" s="145">
        <f>IFERROR(Y12/Y15,0)</f>
        <v/>
      </c>
      <c r="Z17" s="145">
        <f>IFERROR(Z12/Z15,0)</f>
        <v/>
      </c>
      <c r="AA17" s="145">
        <f>IFERROR(AA12/AA15,0)</f>
        <v/>
      </c>
      <c r="AB17" s="145">
        <f>IFERROR(AB12/AB15,0)</f>
        <v/>
      </c>
      <c r="AC17" s="145">
        <f>IFERROR(AC12/AC15,0)</f>
        <v/>
      </c>
      <c r="AD17" s="145">
        <f>IFERROR(AD12/AD15,0)</f>
        <v/>
      </c>
      <c r="AE17" s="145">
        <f>IFERROR(AE12/AE15,0)</f>
        <v/>
      </c>
      <c r="AF17" s="145">
        <f>IFERROR(AF12/AF15,0)</f>
        <v/>
      </c>
      <c r="AG17" s="145">
        <f>IFERROR(AG12/AG15,0)</f>
        <v/>
      </c>
      <c r="AH17" s="145">
        <f>IFERROR(AH12/AH15,0)</f>
        <v/>
      </c>
    </row>
    <row r="19" ht="15" customHeight="1" s="118">
      <c r="B19" s="141" t="inlineStr">
        <is>
          <t>LinkedIn</t>
        </is>
      </c>
      <c r="C19" s="142" t="inlineStr">
        <is>
          <t>Cost (kr.)</t>
        </is>
      </c>
      <c r="D19" s="149" t="n"/>
      <c r="E19" s="149" t="n"/>
      <c r="F19" s="149" t="n"/>
      <c r="G19" s="149" t="n"/>
      <c r="H19" s="149" t="n">
        <v>14239</v>
      </c>
      <c r="I19" s="149" t="n"/>
      <c r="J19" s="149" t="n"/>
      <c r="K19" s="149" t="n"/>
      <c r="L19" s="149" t="n"/>
      <c r="M19" s="149" t="n"/>
      <c r="N19" s="149" t="n"/>
      <c r="O19" s="149" t="n"/>
      <c r="P19" s="149" t="n"/>
      <c r="Q19" s="149" t="n"/>
      <c r="R19" s="149" t="n"/>
      <c r="S19" s="149" t="n"/>
      <c r="T19" s="149" t="n"/>
      <c r="U19" s="149" t="n"/>
      <c r="V19" s="149" t="n"/>
      <c r="W19" s="149" t="n"/>
      <c r="X19" s="149" t="n">
        <v>0</v>
      </c>
      <c r="Y19" s="149" t="n">
        <v>0</v>
      </c>
      <c r="Z19" s="149" t="n"/>
      <c r="AA19" s="149" t="n">
        <v>0</v>
      </c>
      <c r="AB19" s="149" t="n"/>
      <c r="AC19" s="149" t="n"/>
      <c r="AD19" s="149" t="n"/>
      <c r="AE19" s="149" t="n"/>
      <c r="AF19" s="149" t="n"/>
      <c r="AG19" s="149" t="n"/>
      <c r="AH19" s="149" t="n"/>
    </row>
    <row r="20" ht="15" customHeight="1" s="118">
      <c r="C20" s="142" t="inlineStr">
        <is>
          <t>Impressions</t>
        </is>
      </c>
      <c r="D20" s="149" t="n"/>
      <c r="E20" s="149" t="n"/>
      <c r="F20" s="149" t="n"/>
      <c r="G20" s="149" t="n"/>
      <c r="H20" s="149" t="n">
        <v>302714</v>
      </c>
      <c r="I20" s="149" t="n"/>
      <c r="J20" s="149" t="n"/>
      <c r="K20" s="149" t="n"/>
      <c r="L20" s="149" t="n"/>
      <c r="M20" s="149" t="n"/>
      <c r="N20" s="149" t="n"/>
      <c r="O20" s="149" t="n"/>
      <c r="P20" s="149" t="n"/>
      <c r="Q20" s="149" t="n"/>
      <c r="R20" s="149" t="n"/>
      <c r="S20" s="149" t="n"/>
      <c r="T20" s="149" t="n"/>
      <c r="U20" s="149" t="n"/>
      <c r="V20" s="149" t="n"/>
      <c r="W20" s="149" t="n"/>
      <c r="X20" s="149" t="n">
        <v>0</v>
      </c>
      <c r="Y20" s="149" t="n">
        <v>0</v>
      </c>
      <c r="Z20" s="149" t="n"/>
      <c r="AA20" s="149" t="n">
        <v>0</v>
      </c>
      <c r="AB20" s="149" t="n"/>
      <c r="AC20" s="149" t="n"/>
      <c r="AD20" s="149" t="n"/>
      <c r="AE20" s="149" t="n"/>
      <c r="AF20" s="149" t="n"/>
      <c r="AG20" s="149" t="n"/>
      <c r="AH20" s="149" t="n"/>
    </row>
    <row r="21" ht="15" customHeight="1" s="118">
      <c r="C21" s="142" t="inlineStr">
        <is>
          <t>Traffic</t>
        </is>
      </c>
      <c r="D21" s="149" t="n"/>
      <c r="E21" s="149" t="n"/>
      <c r="F21" s="149" t="n"/>
      <c r="G21" s="149" t="n"/>
      <c r="H21" s="149" t="n">
        <v>5320</v>
      </c>
      <c r="I21" s="149" t="n"/>
      <c r="J21" s="149" t="n"/>
      <c r="K21" s="149" t="n"/>
      <c r="L21" s="149" t="n"/>
      <c r="M21" s="149" t="n"/>
      <c r="N21" s="149" t="n"/>
      <c r="O21" s="149" t="n"/>
      <c r="P21" s="149" t="n"/>
      <c r="Q21" s="149" t="n"/>
      <c r="R21" s="149" t="n"/>
      <c r="S21" s="149" t="n"/>
      <c r="T21" s="149" t="n"/>
      <c r="U21" s="149" t="n"/>
      <c r="V21" s="149" t="n"/>
      <c r="W21" s="149" t="n"/>
      <c r="X21" s="149" t="n">
        <v>0</v>
      </c>
      <c r="Y21" s="149" t="n">
        <v>0</v>
      </c>
      <c r="Z21" s="149" t="n"/>
      <c r="AA21" s="149" t="n">
        <v>0</v>
      </c>
      <c r="AB21" s="149" t="n"/>
      <c r="AC21" s="149" t="n"/>
      <c r="AD21" s="149" t="n"/>
      <c r="AE21" s="149" t="n"/>
      <c r="AF21" s="149" t="n"/>
      <c r="AG21" s="149" t="n"/>
      <c r="AH21" s="149" t="n"/>
    </row>
    <row r="22" ht="15" customHeight="1" s="118">
      <c r="C22" s="142" t="inlineStr">
        <is>
          <t>Clients</t>
        </is>
      </c>
      <c r="D22" s="149" t="n"/>
      <c r="E22" s="149" t="n"/>
      <c r="F22" s="149" t="n"/>
      <c r="G22" s="149" t="n"/>
      <c r="H22" s="149" t="n">
        <v>17</v>
      </c>
      <c r="I22" s="149" t="n"/>
      <c r="J22" s="149" t="n"/>
      <c r="K22" s="149" t="n"/>
      <c r="L22" s="149" t="n"/>
      <c r="M22" s="149" t="n"/>
      <c r="N22" s="149" t="n"/>
      <c r="O22" s="149" t="n"/>
      <c r="P22" s="149" t="n"/>
      <c r="Q22" s="149" t="n"/>
      <c r="R22" s="149" t="n"/>
      <c r="S22" s="149" t="n"/>
      <c r="T22" s="149" t="n"/>
      <c r="U22" s="149" t="n"/>
      <c r="V22" s="149" t="n"/>
      <c r="W22" s="149" t="n"/>
      <c r="X22" s="149" t="n">
        <v>0</v>
      </c>
      <c r="Y22" s="149" t="n">
        <v>0</v>
      </c>
      <c r="Z22" s="149" t="n"/>
      <c r="AA22" s="149" t="n">
        <v>0</v>
      </c>
      <c r="AB22" s="149" t="n"/>
      <c r="AC22" s="149" t="n"/>
      <c r="AD22" s="149" t="n"/>
      <c r="AE22" s="149" t="n"/>
      <c r="AF22" s="149" t="n"/>
      <c r="AG22" s="149" t="n"/>
      <c r="AH22" s="149" t="n"/>
    </row>
    <row r="23" ht="15" customHeight="1" s="118">
      <c r="C23" s="142" t="inlineStr">
        <is>
          <t>CVR</t>
        </is>
      </c>
      <c r="D23" s="144">
        <f>IFERROR(D22/D21,0)</f>
        <v/>
      </c>
      <c r="E23" s="144">
        <f>IFERROR(E22/E21,0)</f>
        <v/>
      </c>
      <c r="F23" s="144">
        <f>IFERROR(F22/F21,0)</f>
        <v/>
      </c>
      <c r="G23" s="144">
        <f>IFERROR(G22/G21,0)</f>
        <v/>
      </c>
      <c r="H23" s="144">
        <f>IFERROR(H22/H21,0)</f>
        <v/>
      </c>
      <c r="I23" s="144">
        <f>IFERROR(I22/I21,0)</f>
        <v/>
      </c>
      <c r="J23" s="144">
        <f>IFERROR(J22/J21,0)</f>
        <v/>
      </c>
      <c r="K23" s="144">
        <f>IFERROR(K22/K21,0)</f>
        <v/>
      </c>
      <c r="L23" s="144">
        <f>IFERROR(L22/L21,0)</f>
        <v/>
      </c>
      <c r="M23" s="144">
        <f>IFERROR(M22/M21,0)</f>
        <v/>
      </c>
      <c r="N23" s="144">
        <f>IFERROR(N22/N21,0)</f>
        <v/>
      </c>
      <c r="O23" s="144">
        <f>IFERROR(O22/O21,0)</f>
        <v/>
      </c>
      <c r="P23" s="144">
        <f>IFERROR(P22/P21,0)</f>
        <v/>
      </c>
      <c r="Q23" s="144">
        <f>IFERROR(Q22/Q21,0)</f>
        <v/>
      </c>
      <c r="R23" s="144">
        <f>IFERROR(R22/R21,0)</f>
        <v/>
      </c>
      <c r="S23" s="144">
        <f>IFERROR(S22/S21,0)</f>
        <v/>
      </c>
      <c r="T23" s="144">
        <f>IFERROR(T22/T21,0)</f>
        <v/>
      </c>
      <c r="U23" s="144">
        <f>IFERROR(U22/U21,0)</f>
        <v/>
      </c>
      <c r="V23" s="144">
        <f>IFERROR(V22/V21,0)</f>
        <v/>
      </c>
      <c r="W23" s="144">
        <f>IFERROR(W22/W21,0)</f>
        <v/>
      </c>
      <c r="X23" s="144">
        <f>IFERROR(X22/X21,0)</f>
        <v/>
      </c>
      <c r="Y23" s="144">
        <f>IFERROR(Y22/Y21,0)</f>
        <v/>
      </c>
      <c r="Z23" s="144">
        <f>IFERROR(Z22/Z21,0)</f>
        <v/>
      </c>
      <c r="AA23" s="144">
        <f>IFERROR(AA22/AA21,0)</f>
        <v/>
      </c>
      <c r="AB23" s="144">
        <f>IFERROR(AB22/AB21,0)</f>
        <v/>
      </c>
      <c r="AC23" s="144">
        <f>IFERROR(AC22/AC21,0)</f>
        <v/>
      </c>
      <c r="AD23" s="144">
        <f>IFERROR(AD22/AD21,0)</f>
        <v/>
      </c>
      <c r="AE23" s="144">
        <f>IFERROR(AE22/AE21,0)</f>
        <v/>
      </c>
      <c r="AF23" s="144">
        <f>IFERROR(AF22/AF21,0)</f>
        <v/>
      </c>
      <c r="AG23" s="144">
        <f>IFERROR(AG22/AG21,0)</f>
        <v/>
      </c>
      <c r="AH23" s="144">
        <f>IFERROR(AH22/AH21,0)</f>
        <v/>
      </c>
    </row>
    <row r="24" ht="15" customHeight="1" s="118">
      <c r="C24" s="142" t="inlineStr">
        <is>
          <t>CAC (kr.)</t>
        </is>
      </c>
      <c r="D24" s="145">
        <f>IFERROR(D19/D22,0)</f>
        <v/>
      </c>
      <c r="E24" s="145">
        <f>IFERROR(E19/E22,0)</f>
        <v/>
      </c>
      <c r="F24" s="145">
        <f>IFERROR(F19/F22,0)</f>
        <v/>
      </c>
      <c r="G24" s="145">
        <f>IFERROR(G19/G22,0)</f>
        <v/>
      </c>
      <c r="H24" s="145">
        <f>IFERROR(H19/H22,0)</f>
        <v/>
      </c>
      <c r="I24" s="145">
        <f>IFERROR(I19/I22,0)</f>
        <v/>
      </c>
      <c r="J24" s="145">
        <f>IFERROR(J19/J22,0)</f>
        <v/>
      </c>
      <c r="K24" s="145">
        <f>IFERROR(K19/K22,0)</f>
        <v/>
      </c>
      <c r="L24" s="145">
        <f>IFERROR(L19/L22,0)</f>
        <v/>
      </c>
      <c r="M24" s="145">
        <f>IFERROR(M19/M22,0)</f>
        <v/>
      </c>
      <c r="N24" s="145">
        <f>IFERROR(N19/N22,0)</f>
        <v/>
      </c>
      <c r="O24" s="145">
        <f>IFERROR(O19/O22,0)</f>
        <v/>
      </c>
      <c r="P24" s="145">
        <f>IFERROR(P19/P22,0)</f>
        <v/>
      </c>
      <c r="Q24" s="145">
        <f>IFERROR(Q19/Q22,0)</f>
        <v/>
      </c>
      <c r="R24" s="145">
        <f>IFERROR(R19/R22,0)</f>
        <v/>
      </c>
      <c r="S24" s="145">
        <f>IFERROR(S19/S22,0)</f>
        <v/>
      </c>
      <c r="T24" s="145">
        <f>IFERROR(T19/T22,0)</f>
        <v/>
      </c>
      <c r="U24" s="145">
        <f>IFERROR(U19/U22,0)</f>
        <v/>
      </c>
      <c r="V24" s="145">
        <f>IFERROR(V19/V22,0)</f>
        <v/>
      </c>
      <c r="W24" s="145">
        <f>IFERROR(W19/W22,0)</f>
        <v/>
      </c>
      <c r="X24" s="145">
        <f>IFERROR(X19/X22,0)</f>
        <v/>
      </c>
      <c r="Y24" s="145">
        <f>IFERROR(Y19/Y22,0)</f>
        <v/>
      </c>
      <c r="Z24" s="145">
        <f>IFERROR(Z19/Z22,0)</f>
        <v/>
      </c>
      <c r="AA24" s="145">
        <f>IFERROR(AA19/AA22,0)</f>
        <v/>
      </c>
      <c r="AB24" s="145">
        <f>IFERROR(AB19/AB22,0)</f>
        <v/>
      </c>
      <c r="AC24" s="145">
        <f>IFERROR(AC19/AC22,0)</f>
        <v/>
      </c>
      <c r="AD24" s="145">
        <f>IFERROR(AD19/AD22,0)</f>
        <v/>
      </c>
      <c r="AE24" s="145">
        <f>IFERROR(AE19/AE22,0)</f>
        <v/>
      </c>
      <c r="AF24" s="145">
        <f>IFERROR(AF19/AF22,0)</f>
        <v/>
      </c>
      <c r="AG24" s="145">
        <f>IFERROR(AG19/AG22,0)</f>
        <v/>
      </c>
      <c r="AH24" s="145">
        <f>IFERROR(AH19/AH22,0)</f>
        <v/>
      </c>
    </row>
    <row r="26" ht="15" customHeight="1" s="118">
      <c r="B26" s="141" t="inlineStr">
        <is>
          <t>Youtube</t>
        </is>
      </c>
      <c r="C26" s="142" t="inlineStr">
        <is>
          <t>Cost (kr.)</t>
        </is>
      </c>
      <c r="D26" s="149" t="n"/>
      <c r="E26" s="149" t="n"/>
      <c r="F26" s="149" t="n"/>
      <c r="G26" s="149" t="n"/>
      <c r="H26" s="149" t="n"/>
      <c r="I26" s="149" t="n"/>
      <c r="J26" s="149" t="n"/>
      <c r="K26" s="149" t="n"/>
      <c r="L26" s="149" t="n"/>
      <c r="M26" s="149" t="n"/>
      <c r="N26" s="149" t="n"/>
      <c r="O26" s="149" t="n"/>
      <c r="P26" s="149" t="n"/>
      <c r="Q26" s="149" t="n"/>
      <c r="R26" s="149" t="n"/>
      <c r="S26" s="149" t="n"/>
      <c r="T26" s="149" t="n"/>
      <c r="U26" s="149" t="n"/>
      <c r="V26" s="149" t="n"/>
      <c r="W26" s="149" t="n"/>
      <c r="X26" s="149" t="n">
        <v>0</v>
      </c>
      <c r="Y26" s="149" t="n">
        <v>0</v>
      </c>
      <c r="Z26" s="149" t="n"/>
      <c r="AA26" s="149" t="n">
        <v>0</v>
      </c>
      <c r="AB26" s="149" t="n"/>
      <c r="AC26" s="149" t="n"/>
      <c r="AD26" s="149" t="n"/>
      <c r="AE26" s="149" t="n"/>
      <c r="AF26" s="149" t="n"/>
      <c r="AG26" s="149" t="n"/>
      <c r="AH26" s="149" t="n"/>
    </row>
    <row r="27" ht="15" customHeight="1" s="118">
      <c r="C27" s="142" t="inlineStr">
        <is>
          <t>Impressions</t>
        </is>
      </c>
      <c r="D27" s="149" t="n"/>
      <c r="E27" s="149" t="n"/>
      <c r="F27" s="149" t="n"/>
      <c r="G27" s="149" t="n"/>
      <c r="H27" s="149" t="n"/>
      <c r="I27" s="149" t="n"/>
      <c r="J27" s="149" t="n"/>
      <c r="K27" s="149" t="n"/>
      <c r="L27" s="149" t="n"/>
      <c r="M27" s="149" t="n"/>
      <c r="N27" s="149" t="n"/>
      <c r="O27" s="149" t="n"/>
      <c r="P27" s="149" t="n"/>
      <c r="Q27" s="149" t="n"/>
      <c r="R27" s="149" t="n"/>
      <c r="S27" s="149" t="n"/>
      <c r="T27" s="149" t="n"/>
      <c r="U27" s="149" t="n"/>
      <c r="V27" s="149" t="n"/>
      <c r="W27" s="149" t="n"/>
      <c r="X27" s="149" t="n">
        <v>0</v>
      </c>
      <c r="Y27" s="149" t="n">
        <v>0</v>
      </c>
      <c r="Z27" s="149" t="n"/>
      <c r="AA27" s="149" t="n">
        <v>0</v>
      </c>
      <c r="AB27" s="149" t="n"/>
      <c r="AC27" s="149" t="n"/>
      <c r="AD27" s="149" t="n"/>
      <c r="AE27" s="149" t="n"/>
      <c r="AF27" s="149" t="n"/>
      <c r="AG27" s="149" t="n"/>
      <c r="AH27" s="149" t="n"/>
    </row>
    <row r="28" ht="15" customHeight="1" s="118">
      <c r="C28" s="142" t="inlineStr">
        <is>
          <t>Traffic</t>
        </is>
      </c>
      <c r="D28" s="149" t="n"/>
      <c r="E28" s="149" t="n"/>
      <c r="F28" s="149" t="n"/>
      <c r="G28" s="149" t="n"/>
      <c r="H28" s="149" t="n"/>
      <c r="I28" s="149" t="n"/>
      <c r="J28" s="149" t="n"/>
      <c r="K28" s="149" t="n"/>
      <c r="L28" s="149" t="n"/>
      <c r="M28" s="149" t="n"/>
      <c r="N28" s="149" t="n"/>
      <c r="O28" s="149" t="n"/>
      <c r="P28" s="149" t="n"/>
      <c r="Q28" s="149" t="n"/>
      <c r="R28" s="149" t="n"/>
      <c r="S28" s="149" t="n"/>
      <c r="T28" s="149" t="n"/>
      <c r="U28" s="149" t="n"/>
      <c r="V28" s="149" t="n"/>
      <c r="W28" s="149" t="n"/>
      <c r="X28" s="149" t="n">
        <v>0</v>
      </c>
      <c r="Y28" s="149" t="n">
        <v>0</v>
      </c>
      <c r="Z28" s="149" t="n"/>
      <c r="AA28" s="149" t="n">
        <v>0</v>
      </c>
      <c r="AB28" s="149" t="n"/>
      <c r="AC28" s="149" t="n"/>
      <c r="AD28" s="149" t="n"/>
      <c r="AE28" s="149" t="n"/>
      <c r="AF28" s="149" t="n"/>
      <c r="AG28" s="149" t="n"/>
      <c r="AH28" s="149" t="n"/>
    </row>
    <row r="29" ht="15" customHeight="1" s="118">
      <c r="C29" s="142" t="inlineStr">
        <is>
          <t>Clients</t>
        </is>
      </c>
      <c r="D29" s="149" t="n"/>
      <c r="E29" s="149" t="n"/>
      <c r="F29" s="149" t="n"/>
      <c r="G29" s="149" t="n"/>
      <c r="H29" s="149" t="n"/>
      <c r="I29" s="149" t="n"/>
      <c r="J29" s="149" t="n"/>
      <c r="K29" s="149" t="n"/>
      <c r="L29" s="149" t="n"/>
      <c r="M29" s="149" t="n"/>
      <c r="N29" s="149" t="n"/>
      <c r="O29" s="149" t="n"/>
      <c r="P29" s="149" t="n"/>
      <c r="Q29" s="149" t="n"/>
      <c r="R29" s="149" t="n"/>
      <c r="S29" s="149" t="n"/>
      <c r="T29" s="149" t="n"/>
      <c r="U29" s="149" t="n"/>
      <c r="V29" s="149" t="n"/>
      <c r="W29" s="149" t="n"/>
      <c r="X29" s="149" t="n">
        <v>0</v>
      </c>
      <c r="Y29" s="149" t="n">
        <v>0</v>
      </c>
      <c r="Z29" s="149" t="n"/>
      <c r="AA29" s="149" t="n">
        <v>0</v>
      </c>
      <c r="AB29" s="149" t="n"/>
      <c r="AC29" s="149" t="n"/>
      <c r="AD29" s="149" t="n"/>
      <c r="AE29" s="149" t="n"/>
      <c r="AF29" s="149" t="n"/>
      <c r="AG29" s="149" t="n"/>
      <c r="AH29" s="149" t="n"/>
    </row>
    <row r="30" ht="15" customHeight="1" s="118">
      <c r="C30" s="142" t="inlineStr">
        <is>
          <t>CVR</t>
        </is>
      </c>
      <c r="D30" s="144">
        <f>IFERROR(D29/D28,0)</f>
        <v/>
      </c>
      <c r="E30" s="144">
        <f>IFERROR(E29/E28,0)</f>
        <v/>
      </c>
      <c r="F30" s="144">
        <f>IFERROR(F29/F28,0)</f>
        <v/>
      </c>
      <c r="G30" s="144">
        <f>IFERROR(G29/G28,0)</f>
        <v/>
      </c>
      <c r="H30" s="144">
        <f>IFERROR(H29/H28,0)</f>
        <v/>
      </c>
      <c r="I30" s="144">
        <f>IFERROR(I29/I28,0)</f>
        <v/>
      </c>
      <c r="J30" s="144">
        <f>IFERROR(J29/J28,0)</f>
        <v/>
      </c>
      <c r="K30" s="144">
        <f>IFERROR(K29/K28,0)</f>
        <v/>
      </c>
      <c r="L30" s="144">
        <f>IFERROR(L29/L28,0)</f>
        <v/>
      </c>
      <c r="M30" s="144">
        <f>IFERROR(M29/M28,0)</f>
        <v/>
      </c>
      <c r="N30" s="144">
        <f>IFERROR(N29/N28,0)</f>
        <v/>
      </c>
      <c r="O30" s="144">
        <f>IFERROR(O29/O28,0)</f>
        <v/>
      </c>
      <c r="P30" s="144">
        <f>IFERROR(P29/P28,0)</f>
        <v/>
      </c>
      <c r="Q30" s="144">
        <f>IFERROR(Q29/Q28,0)</f>
        <v/>
      </c>
      <c r="R30" s="144">
        <f>IFERROR(R29/R28,0)</f>
        <v/>
      </c>
      <c r="S30" s="144">
        <f>IFERROR(S29/S28,0)</f>
        <v/>
      </c>
      <c r="T30" s="144">
        <f>IFERROR(T29/T28,0)</f>
        <v/>
      </c>
      <c r="U30" s="144">
        <f>IFERROR(U29/U28,0)</f>
        <v/>
      </c>
      <c r="V30" s="144">
        <f>IFERROR(V29/V28,0)</f>
        <v/>
      </c>
      <c r="W30" s="144">
        <f>IFERROR(W29/W28,0)</f>
        <v/>
      </c>
      <c r="X30" s="144">
        <f>IFERROR(X29/X28,0)</f>
        <v/>
      </c>
      <c r="Y30" s="144">
        <f>IFERROR(Y29/Y28,0)</f>
        <v/>
      </c>
      <c r="Z30" s="144">
        <f>IFERROR(Z29/Z28,0)</f>
        <v/>
      </c>
      <c r="AA30" s="144">
        <f>IFERROR(AA29/AA28,0)</f>
        <v/>
      </c>
      <c r="AB30" s="144">
        <f>IFERROR(AB29/AB28,0)</f>
        <v/>
      </c>
      <c r="AC30" s="144">
        <f>IFERROR(AC29/AC28,0)</f>
        <v/>
      </c>
      <c r="AD30" s="144">
        <f>IFERROR(AD29/AD28,0)</f>
        <v/>
      </c>
      <c r="AE30" s="144">
        <f>IFERROR(AE29/AE28,0)</f>
        <v/>
      </c>
      <c r="AF30" s="144">
        <f>IFERROR(AF29/AF28,0)</f>
        <v/>
      </c>
      <c r="AG30" s="144">
        <f>IFERROR(AG29/AG28,0)</f>
        <v/>
      </c>
      <c r="AH30" s="144">
        <f>IFERROR(AH29/AH28,0)</f>
        <v/>
      </c>
    </row>
    <row r="31" ht="15" customHeight="1" s="118">
      <c r="C31" s="142" t="inlineStr">
        <is>
          <t>CAC (kr.)</t>
        </is>
      </c>
      <c r="D31" s="145">
        <f>IFERROR(D26/D29,0)</f>
        <v/>
      </c>
      <c r="E31" s="145">
        <f>IFERROR(E26/E29,0)</f>
        <v/>
      </c>
      <c r="F31" s="145">
        <f>IFERROR(F26/F29,0)</f>
        <v/>
      </c>
      <c r="G31" s="145">
        <f>IFERROR(G26/G29,0)</f>
        <v/>
      </c>
      <c r="H31" s="145">
        <f>IFERROR(H26/H29,0)</f>
        <v/>
      </c>
      <c r="I31" s="145">
        <f>IFERROR(I26/I29,0)</f>
        <v/>
      </c>
      <c r="J31" s="145">
        <f>IFERROR(J26/J29,0)</f>
        <v/>
      </c>
      <c r="K31" s="145">
        <f>IFERROR(K26/K29,0)</f>
        <v/>
      </c>
      <c r="L31" s="145">
        <f>IFERROR(L26/L29,0)</f>
        <v/>
      </c>
      <c r="M31" s="145">
        <f>IFERROR(M26/M29,0)</f>
        <v/>
      </c>
      <c r="N31" s="145">
        <f>IFERROR(N26/N29,0)</f>
        <v/>
      </c>
      <c r="O31" s="145">
        <f>IFERROR(O26/O29,0)</f>
        <v/>
      </c>
      <c r="P31" s="145">
        <f>IFERROR(P26/P29,0)</f>
        <v/>
      </c>
      <c r="Q31" s="145">
        <f>IFERROR(Q26/Q29,0)</f>
        <v/>
      </c>
      <c r="R31" s="145">
        <f>IFERROR(R26/R29,0)</f>
        <v/>
      </c>
      <c r="S31" s="145">
        <f>IFERROR(S26/S29,0)</f>
        <v/>
      </c>
      <c r="T31" s="145">
        <f>IFERROR(T26/T29,0)</f>
        <v/>
      </c>
      <c r="U31" s="145">
        <f>IFERROR(U26/U29,0)</f>
        <v/>
      </c>
      <c r="V31" s="145">
        <f>IFERROR(V26/V29,0)</f>
        <v/>
      </c>
      <c r="W31" s="145">
        <f>IFERROR(W26/W29,0)</f>
        <v/>
      </c>
      <c r="X31" s="145">
        <f>IFERROR(X26/X29,0)</f>
        <v/>
      </c>
      <c r="Y31" s="145">
        <f>IFERROR(Y26/Y29,0)</f>
        <v/>
      </c>
      <c r="Z31" s="145">
        <f>IFERROR(Z26/Z29,0)</f>
        <v/>
      </c>
      <c r="AA31" s="145">
        <f>IFERROR(AA26/AA29,0)</f>
        <v/>
      </c>
      <c r="AB31" s="145">
        <f>IFERROR(AB26/AB29,0)</f>
        <v/>
      </c>
      <c r="AC31" s="145">
        <f>IFERROR(AC26/AC29,0)</f>
        <v/>
      </c>
      <c r="AD31" s="145">
        <f>IFERROR(AD26/AD29,0)</f>
        <v/>
      </c>
      <c r="AE31" s="145">
        <f>IFERROR(AE26/AE29,0)</f>
        <v/>
      </c>
      <c r="AF31" s="145">
        <f>IFERROR(AF26/AF29,0)</f>
        <v/>
      </c>
      <c r="AG31" s="145">
        <f>IFERROR(AG26/AG29,0)</f>
        <v/>
      </c>
      <c r="AH31" s="145">
        <f>IFERROR(AH26/AH29,0)</f>
        <v/>
      </c>
    </row>
    <row r="33" ht="15" customHeight="1" s="118">
      <c r="B33" s="141" t="inlineStr">
        <is>
          <t>Brand search</t>
        </is>
      </c>
      <c r="C33" s="142" t="inlineStr">
        <is>
          <t>Cost (kr.)</t>
        </is>
      </c>
      <c r="D33" s="149" t="n">
        <v>3453</v>
      </c>
      <c r="E33" s="149" t="n">
        <v>1526.33</v>
      </c>
      <c r="F33" s="149" t="n">
        <v>749</v>
      </c>
      <c r="G33" s="149" t="n">
        <v>486</v>
      </c>
      <c r="H33" s="149" t="n">
        <v>343518</v>
      </c>
      <c r="I33" s="149" t="n">
        <v>951</v>
      </c>
      <c r="J33" s="149" t="n">
        <v>924</v>
      </c>
      <c r="K33" s="149" t="n">
        <v>508</v>
      </c>
      <c r="L33" s="149" t="n">
        <v>622</v>
      </c>
      <c r="M33" s="149" t="n">
        <v>798</v>
      </c>
      <c r="N33" s="149" t="n">
        <v>780</v>
      </c>
      <c r="O33" s="149" t="n">
        <v>878</v>
      </c>
      <c r="P33" s="149" t="n">
        <v>881</v>
      </c>
      <c r="Q33" s="149" t="n">
        <v>927</v>
      </c>
      <c r="R33" s="149" t="n">
        <v>4772</v>
      </c>
      <c r="S33" s="149" t="n">
        <v>7440</v>
      </c>
      <c r="T33" s="149" t="n">
        <v>1679</v>
      </c>
      <c r="U33" s="149" t="n">
        <v>1509</v>
      </c>
      <c r="V33" s="149" t="n">
        <v>5600</v>
      </c>
      <c r="W33" s="149" t="n">
        <v>1142</v>
      </c>
      <c r="X33" s="149" t="n">
        <v>1355</v>
      </c>
      <c r="Y33" s="149" t="n">
        <v>1322</v>
      </c>
      <c r="Z33" s="149" t="n">
        <v>2037</v>
      </c>
      <c r="AA33" s="149" t="n">
        <v>2832</v>
      </c>
      <c r="AB33" s="149" t="n"/>
      <c r="AC33" s="149" t="n"/>
      <c r="AD33" s="149" t="n"/>
      <c r="AE33" s="149" t="n"/>
      <c r="AF33" s="149" t="n"/>
      <c r="AG33" s="149" t="n"/>
      <c r="AH33" s="149" t="n"/>
    </row>
    <row r="34" ht="15" customHeight="1" s="118">
      <c r="C34" s="142" t="inlineStr">
        <is>
          <t>Impressions</t>
        </is>
      </c>
      <c r="D34" s="149" t="n">
        <v>2078</v>
      </c>
      <c r="E34" s="149" t="n">
        <v>4690</v>
      </c>
      <c r="F34" s="149" t="n">
        <v>4792</v>
      </c>
      <c r="G34" s="149" t="n">
        <v>3207</v>
      </c>
      <c r="H34" s="149" t="n">
        <v>35011184</v>
      </c>
      <c r="I34" s="149" t="n">
        <v>5630</v>
      </c>
      <c r="J34" s="149" t="n">
        <v>6900</v>
      </c>
      <c r="K34" s="149" t="n">
        <v>5000</v>
      </c>
      <c r="L34" s="149" t="n">
        <v>6746</v>
      </c>
      <c r="M34" s="149" t="n">
        <v>6346</v>
      </c>
      <c r="N34" s="149" t="n"/>
      <c r="O34" s="149" t="n"/>
      <c r="P34" s="149" t="n">
        <v>6200</v>
      </c>
      <c r="Q34" s="149" t="n">
        <v>7200</v>
      </c>
      <c r="R34" s="149" t="n">
        <v>14700</v>
      </c>
      <c r="S34" s="149" t="n">
        <v>13500</v>
      </c>
      <c r="T34" s="149" t="n">
        <v>9616</v>
      </c>
      <c r="U34" s="149" t="n">
        <v>8806</v>
      </c>
      <c r="V34" s="149" t="n">
        <v>1400</v>
      </c>
      <c r="W34" s="149" t="n">
        <v>6470</v>
      </c>
      <c r="X34" s="149" t="n">
        <v>8300</v>
      </c>
      <c r="Y34" s="149" t="n">
        <v>8311</v>
      </c>
      <c r="Z34" s="149" t="n">
        <v>9641</v>
      </c>
      <c r="AA34" s="149" t="n">
        <v>10292</v>
      </c>
      <c r="AB34" s="149" t="n"/>
      <c r="AC34" s="149" t="n"/>
      <c r="AD34" s="149" t="n"/>
      <c r="AE34" s="149" t="n"/>
      <c r="AF34" s="149" t="n"/>
      <c r="AG34" s="149" t="n"/>
      <c r="AH34" s="149" t="n"/>
    </row>
    <row r="35" ht="15" customHeight="1" s="118">
      <c r="C35" s="142" t="inlineStr">
        <is>
          <t>Traffic</t>
        </is>
      </c>
      <c r="D35" s="149" t="n">
        <v>1169</v>
      </c>
      <c r="E35" s="149" t="n">
        <v>2686</v>
      </c>
      <c r="F35" s="149" t="n">
        <v>2950</v>
      </c>
      <c r="G35" s="149" t="n">
        <v>1870</v>
      </c>
      <c r="H35" s="149" t="n">
        <v>6369</v>
      </c>
      <c r="I35" s="149" t="n">
        <v>2400</v>
      </c>
      <c r="J35" s="149" t="n">
        <v>2974</v>
      </c>
      <c r="K35" s="149" t="n">
        <v>2040</v>
      </c>
      <c r="L35" s="149" t="n">
        <v>2223</v>
      </c>
      <c r="M35" s="149" t="n">
        <v>2194</v>
      </c>
      <c r="N35" s="149" t="n">
        <v>1900</v>
      </c>
      <c r="O35" s="149" t="n">
        <v>2105</v>
      </c>
      <c r="P35" s="149" t="n">
        <v>2210</v>
      </c>
      <c r="Q35" s="149" t="n">
        <v>2580</v>
      </c>
      <c r="R35" s="149" t="n">
        <v>4570</v>
      </c>
      <c r="S35" s="149" t="n">
        <v>3310</v>
      </c>
      <c r="T35" s="149" t="n">
        <v>4520</v>
      </c>
      <c r="U35" s="149" t="n">
        <v>3481</v>
      </c>
      <c r="V35" s="149" t="n">
        <v>9298</v>
      </c>
      <c r="W35" s="149" t="n">
        <v>2838</v>
      </c>
      <c r="X35" s="149" t="n">
        <v>3700</v>
      </c>
      <c r="Y35" s="149" t="n">
        <v>3761</v>
      </c>
      <c r="Z35" s="149" t="n">
        <v>4746</v>
      </c>
      <c r="AA35" s="149" t="n">
        <v>5042</v>
      </c>
      <c r="AB35" s="149" t="n"/>
      <c r="AC35" s="149" t="n"/>
      <c r="AD35" s="149" t="n"/>
      <c r="AE35" s="149" t="n"/>
      <c r="AF35" s="149" t="n"/>
      <c r="AG35" s="149" t="n"/>
      <c r="AH35" s="149" t="n"/>
    </row>
    <row r="36" ht="15" customHeight="1" s="118">
      <c r="C36" s="142" t="inlineStr">
        <is>
          <t>Clients</t>
        </is>
      </c>
      <c r="D36" s="149" t="n">
        <v>373</v>
      </c>
      <c r="E36" s="149" t="n">
        <v>283</v>
      </c>
      <c r="F36" s="149" t="n">
        <v>541</v>
      </c>
      <c r="G36" s="149" t="n">
        <v>430</v>
      </c>
      <c r="H36" s="149" t="n">
        <v>1050</v>
      </c>
      <c r="I36" s="149" t="n">
        <v>264</v>
      </c>
      <c r="J36" s="149" t="n">
        <v>209</v>
      </c>
      <c r="K36" s="149" t="n">
        <v>123</v>
      </c>
      <c r="L36" s="149" t="n">
        <v>151</v>
      </c>
      <c r="M36" s="149" t="n">
        <v>228</v>
      </c>
      <c r="N36" s="149" t="n">
        <v>154</v>
      </c>
      <c r="O36" s="149" t="n">
        <v>153</v>
      </c>
      <c r="P36" s="149" t="n">
        <v>166</v>
      </c>
      <c r="Q36" s="149" t="n">
        <v>165</v>
      </c>
      <c r="R36" s="149" t="n">
        <v>328</v>
      </c>
      <c r="S36" s="149" t="n">
        <v>346</v>
      </c>
      <c r="T36" s="149" t="n">
        <v>393</v>
      </c>
      <c r="U36" s="149" t="n">
        <v>500</v>
      </c>
      <c r="V36" s="149" t="n">
        <v>432</v>
      </c>
      <c r="W36" s="149" t="n">
        <v>387</v>
      </c>
      <c r="X36" s="149" t="n">
        <v>472</v>
      </c>
      <c r="Y36" s="149" t="n">
        <v>446</v>
      </c>
      <c r="Z36" s="149" t="n">
        <v>733</v>
      </c>
      <c r="AA36" s="149" t="n">
        <v>586</v>
      </c>
      <c r="AB36" s="149" t="n"/>
      <c r="AC36" s="149" t="n"/>
      <c r="AD36" s="149" t="n"/>
      <c r="AE36" s="149" t="n"/>
      <c r="AF36" s="149" t="n"/>
      <c r="AG36" s="149" t="n"/>
      <c r="AH36" s="149" t="n"/>
    </row>
    <row r="37" ht="15" customHeight="1" s="118">
      <c r="C37" s="142" t="inlineStr">
        <is>
          <t>CVR</t>
        </is>
      </c>
      <c r="D37" s="144">
        <f>IFERROR(D36/D35,0)</f>
        <v/>
      </c>
      <c r="E37" s="144">
        <f>IFERROR(E36/E35,0)</f>
        <v/>
      </c>
      <c r="F37" s="144">
        <f>IFERROR(F36/F35,0)</f>
        <v/>
      </c>
      <c r="G37" s="144">
        <f>IFERROR(G36/G35,0)</f>
        <v/>
      </c>
      <c r="H37" s="144">
        <f>IFERROR(H36/H35,0)</f>
        <v/>
      </c>
      <c r="I37" s="144">
        <f>IFERROR(I36/I35,0)</f>
        <v/>
      </c>
      <c r="J37" s="144">
        <f>IFERROR(J36/J35,0)</f>
        <v/>
      </c>
      <c r="K37" s="144">
        <f>IFERROR(K36/K35,0)</f>
        <v/>
      </c>
      <c r="L37" s="144">
        <f>IFERROR(L36/L35,0)</f>
        <v/>
      </c>
      <c r="M37" s="144">
        <f>IFERROR(M36/M35,0)</f>
        <v/>
      </c>
      <c r="N37" s="144">
        <f>IFERROR(N36/N35,0)</f>
        <v/>
      </c>
      <c r="O37" s="144">
        <f>IFERROR(O36/O35,0)</f>
        <v/>
      </c>
      <c r="P37" s="144">
        <f>IFERROR(P36/P35,0)</f>
        <v/>
      </c>
      <c r="Q37" s="144">
        <f>IFERROR(Q36/Q35,0)</f>
        <v/>
      </c>
      <c r="R37" s="144">
        <f>IFERROR(R36/R35,0)</f>
        <v/>
      </c>
      <c r="S37" s="144">
        <f>IFERROR(S36/S35,0)</f>
        <v/>
      </c>
      <c r="T37" s="144">
        <f>IFERROR(T36/T35,0)</f>
        <v/>
      </c>
      <c r="U37" s="144">
        <f>IFERROR(U36/U35,0)</f>
        <v/>
      </c>
      <c r="V37" s="144">
        <f>IFERROR(V36/V35,0)</f>
        <v/>
      </c>
      <c r="W37" s="144">
        <f>IFERROR(W36/W35,0)</f>
        <v/>
      </c>
      <c r="X37" s="144">
        <f>IFERROR(X36/X35,0)</f>
        <v/>
      </c>
      <c r="Y37" s="144">
        <f>IFERROR(Y36/Y35,0)</f>
        <v/>
      </c>
      <c r="Z37" s="144">
        <f>IFERROR(Z36/Z35,0)</f>
        <v/>
      </c>
      <c r="AA37" s="144">
        <f>IFERROR(AA36/AA35,0)</f>
        <v/>
      </c>
      <c r="AB37" s="144">
        <f>IFERROR(AB36/AB35,0)</f>
        <v/>
      </c>
      <c r="AC37" s="144">
        <f>IFERROR(AC36/AC35,0)</f>
        <v/>
      </c>
      <c r="AD37" s="144">
        <f>IFERROR(AD36/AD35,0)</f>
        <v/>
      </c>
      <c r="AE37" s="144">
        <f>IFERROR(AE36/AE35,0)</f>
        <v/>
      </c>
      <c r="AF37" s="144">
        <f>IFERROR(AF36/AF35,0)</f>
        <v/>
      </c>
      <c r="AG37" s="144">
        <f>IFERROR(AG36/AG35,0)</f>
        <v/>
      </c>
      <c r="AH37" s="144">
        <f>IFERROR(AH36/AH35,0)</f>
        <v/>
      </c>
    </row>
    <row r="38" ht="15" customHeight="1" s="118">
      <c r="C38" s="142" t="inlineStr">
        <is>
          <t>CAC (kr.)</t>
        </is>
      </c>
      <c r="D38" s="145">
        <f>IFERROR(D33/D36,0)</f>
        <v/>
      </c>
      <c r="E38" s="145">
        <f>IFERROR(E33/E36,0)</f>
        <v/>
      </c>
      <c r="F38" s="145">
        <f>IFERROR(F33/F36,0)</f>
        <v/>
      </c>
      <c r="G38" s="145">
        <f>IFERROR(G33/G36,0)</f>
        <v/>
      </c>
      <c r="H38" s="145">
        <f>IFERROR(H33/H36,0)</f>
        <v/>
      </c>
      <c r="I38" s="145">
        <f>IFERROR(I33/I36,0)</f>
        <v/>
      </c>
      <c r="J38" s="145">
        <f>IFERROR(J33/J36,0)</f>
        <v/>
      </c>
      <c r="K38" s="145">
        <f>IFERROR(K33/K36,0)</f>
        <v/>
      </c>
      <c r="L38" s="145">
        <f>IFERROR(L33/L36,0)</f>
        <v/>
      </c>
      <c r="M38" s="145">
        <f>IFERROR(M33/M36,0)</f>
        <v/>
      </c>
      <c r="N38" s="145">
        <f>IFERROR(N33/N36,0)</f>
        <v/>
      </c>
      <c r="O38" s="145">
        <f>IFERROR(O33/O36,0)</f>
        <v/>
      </c>
      <c r="P38" s="145">
        <f>IFERROR(P33/P36,0)</f>
        <v/>
      </c>
      <c r="Q38" s="145">
        <f>IFERROR(Q33/Q36,0)</f>
        <v/>
      </c>
      <c r="R38" s="145">
        <f>IFERROR(R33/R36,0)</f>
        <v/>
      </c>
      <c r="S38" s="145">
        <f>IFERROR(S33/S36,0)</f>
        <v/>
      </c>
      <c r="T38" s="145">
        <f>IFERROR(T33/T36,0)</f>
        <v/>
      </c>
      <c r="U38" s="145">
        <f>IFERROR(U33/U36,0)</f>
        <v/>
      </c>
      <c r="V38" s="145">
        <f>IFERROR(V33/V36,0)</f>
        <v/>
      </c>
      <c r="W38" s="145">
        <f>IFERROR(W33/W36,0)</f>
        <v/>
      </c>
      <c r="X38" s="145">
        <f>IFERROR(X33/X36,0)</f>
        <v/>
      </c>
      <c r="Y38" s="145">
        <f>IFERROR(Y33/Y36,0)</f>
        <v/>
      </c>
      <c r="Z38" s="145">
        <f>IFERROR(Z33/Z36,0)</f>
        <v/>
      </c>
      <c r="AA38" s="145">
        <f>IFERROR(AA33/AA36,0)</f>
        <v/>
      </c>
      <c r="AB38" s="145">
        <f>IFERROR(AB33/AB36,0)</f>
        <v/>
      </c>
      <c r="AC38" s="145">
        <f>IFERROR(AC33/AC36,0)</f>
        <v/>
      </c>
      <c r="AD38" s="145">
        <f>IFERROR(AD33/AD36,0)</f>
        <v/>
      </c>
      <c r="AE38" s="145">
        <f>IFERROR(AE33/AE36,0)</f>
        <v/>
      </c>
      <c r="AF38" s="145">
        <f>IFERROR(AF33/AF36,0)</f>
        <v/>
      </c>
      <c r="AG38" s="145">
        <f>IFERROR(AG33/AG36,0)</f>
        <v/>
      </c>
      <c r="AH38" s="145">
        <f>IFERROR(AH33/AH36,0)</f>
        <v/>
      </c>
    </row>
    <row r="40" ht="18" customHeight="1" s="118">
      <c r="B40" s="140" t="inlineStr">
        <is>
          <t>▪ PARTNERSHIPS</t>
        </is>
      </c>
    </row>
    <row r="41" ht="15" customHeight="1" s="118">
      <c r="B41" s="141" t="inlineStr">
        <is>
          <t>Influencers</t>
        </is>
      </c>
      <c r="C41" s="142" t="inlineStr">
        <is>
          <t>Cost (kr.)</t>
        </is>
      </c>
      <c r="D41" s="149" t="n"/>
      <c r="E41" s="149" t="n"/>
      <c r="F41" s="149" t="n"/>
      <c r="G41" s="149" t="n"/>
      <c r="H41" s="149" t="n">
        <v>16000</v>
      </c>
      <c r="I41" s="149" t="n"/>
      <c r="J41" s="149" t="n"/>
      <c r="K41" s="149" t="n"/>
      <c r="L41" s="149" t="n"/>
      <c r="M41" s="149" t="n"/>
      <c r="N41" s="149" t="n"/>
      <c r="O41" s="149" t="n"/>
      <c r="P41" s="149" t="n"/>
      <c r="Q41" s="149" t="n"/>
      <c r="R41" s="149" t="n"/>
      <c r="S41" s="149" t="n"/>
      <c r="T41" s="149" t="n"/>
      <c r="U41" s="149" t="n"/>
      <c r="V41" s="149" t="n"/>
      <c r="W41" s="149" t="n"/>
      <c r="X41" s="149" t="n">
        <v>0</v>
      </c>
      <c r="Y41" s="149" t="n">
        <v>0</v>
      </c>
      <c r="Z41" s="149" t="n"/>
      <c r="AA41" s="149" t="n">
        <v>0</v>
      </c>
      <c r="AB41" s="149" t="n"/>
      <c r="AC41" s="149" t="n"/>
      <c r="AD41" s="149" t="n"/>
      <c r="AE41" s="149" t="n"/>
      <c r="AF41" s="149" t="n"/>
      <c r="AG41" s="149" t="n"/>
      <c r="AH41" s="149" t="n"/>
    </row>
    <row r="42" ht="15" customHeight="1" s="118">
      <c r="C42" s="142" t="inlineStr">
        <is>
          <t>Impressions</t>
        </is>
      </c>
      <c r="D42" s="149" t="n"/>
      <c r="E42" s="149" t="n"/>
      <c r="F42" s="149" t="n"/>
      <c r="G42" s="149" t="n"/>
      <c r="H42" s="149" t="n">
        <v>300000</v>
      </c>
      <c r="I42" s="149" t="n"/>
      <c r="J42" s="149" t="n"/>
      <c r="K42" s="149" t="n"/>
      <c r="L42" s="149" t="n"/>
      <c r="M42" s="149" t="n"/>
      <c r="N42" s="149" t="n"/>
      <c r="O42" s="149" t="n"/>
      <c r="P42" s="149" t="n"/>
      <c r="Q42" s="149" t="n"/>
      <c r="R42" s="149" t="n"/>
      <c r="S42" s="149" t="n"/>
      <c r="T42" s="149" t="n"/>
      <c r="U42" s="149" t="n"/>
      <c r="V42" s="149" t="n"/>
      <c r="W42" s="149" t="n"/>
      <c r="X42" s="149" t="n">
        <v>0</v>
      </c>
      <c r="Y42" s="149" t="n">
        <v>0</v>
      </c>
      <c r="Z42" s="149" t="n"/>
      <c r="AA42" s="149" t="n">
        <v>0</v>
      </c>
      <c r="AB42" s="149" t="n"/>
      <c r="AC42" s="149" t="n"/>
      <c r="AD42" s="149" t="n"/>
      <c r="AE42" s="149" t="n"/>
      <c r="AF42" s="149" t="n"/>
      <c r="AG42" s="149" t="n"/>
      <c r="AH42" s="149" t="n"/>
    </row>
    <row r="43" ht="15" customHeight="1" s="118">
      <c r="C43" s="142" t="inlineStr">
        <is>
          <t>Traffic</t>
        </is>
      </c>
      <c r="D43" s="149" t="n"/>
      <c r="E43" s="149" t="n"/>
      <c r="F43" s="149" t="n"/>
      <c r="G43" s="149" t="n"/>
      <c r="H43" s="149" t="n"/>
      <c r="I43" s="149" t="n"/>
      <c r="J43" s="149" t="n"/>
      <c r="K43" s="149" t="n"/>
      <c r="L43" s="149" t="n"/>
      <c r="M43" s="149" t="n"/>
      <c r="N43" s="149" t="n"/>
      <c r="O43" s="149" t="n"/>
      <c r="P43" s="149" t="n"/>
      <c r="Q43" s="149" t="n"/>
      <c r="R43" s="149" t="n"/>
      <c r="S43" s="149" t="n"/>
      <c r="T43" s="149" t="n"/>
      <c r="U43" s="149" t="n"/>
      <c r="V43" s="149" t="n"/>
      <c r="W43" s="149" t="n"/>
      <c r="X43" s="149" t="n">
        <v>0</v>
      </c>
      <c r="Y43" s="149" t="n">
        <v>0</v>
      </c>
      <c r="Z43" s="149" t="n"/>
      <c r="AA43" s="149" t="n">
        <v>0</v>
      </c>
      <c r="AB43" s="149" t="n"/>
      <c r="AC43" s="149" t="n"/>
      <c r="AD43" s="149" t="n"/>
      <c r="AE43" s="149" t="n"/>
      <c r="AF43" s="149" t="n"/>
      <c r="AG43" s="149" t="n"/>
      <c r="AH43" s="149" t="n"/>
    </row>
    <row r="44" ht="15" customHeight="1" s="118">
      <c r="C44" s="142" t="inlineStr">
        <is>
          <t>Clients</t>
        </is>
      </c>
      <c r="D44" s="149" t="n"/>
      <c r="E44" s="149" t="n"/>
      <c r="F44" s="149" t="n"/>
      <c r="G44" s="149" t="n"/>
      <c r="H44" s="149" t="n"/>
      <c r="I44" s="149" t="n"/>
      <c r="J44" s="149" t="n"/>
      <c r="K44" s="149" t="n"/>
      <c r="L44" s="149" t="n"/>
      <c r="M44" s="149" t="n"/>
      <c r="N44" s="149" t="n"/>
      <c r="O44" s="149" t="n"/>
      <c r="P44" s="149" t="n"/>
      <c r="Q44" s="149" t="n"/>
      <c r="R44" s="149" t="n"/>
      <c r="S44" s="149" t="n"/>
      <c r="T44" s="149" t="n"/>
      <c r="U44" s="149" t="n"/>
      <c r="V44" s="149" t="n"/>
      <c r="W44" s="149" t="n"/>
      <c r="X44" s="149" t="n">
        <v>0</v>
      </c>
      <c r="Y44" s="149" t="n">
        <v>0</v>
      </c>
      <c r="Z44" s="149" t="n"/>
      <c r="AA44" s="149" t="n">
        <v>0</v>
      </c>
      <c r="AB44" s="149" t="n"/>
      <c r="AC44" s="149" t="n"/>
      <c r="AD44" s="149" t="n"/>
      <c r="AE44" s="149" t="n"/>
      <c r="AF44" s="149" t="n"/>
      <c r="AG44" s="149" t="n"/>
      <c r="AH44" s="149" t="n"/>
    </row>
    <row r="45" ht="15" customHeight="1" s="118">
      <c r="C45" s="142" t="inlineStr">
        <is>
          <t>CVR</t>
        </is>
      </c>
      <c r="D45" s="144">
        <f>IFERROR(D44/D43,0)</f>
        <v/>
      </c>
      <c r="E45" s="144">
        <f>IFERROR(E44/E43,0)</f>
        <v/>
      </c>
      <c r="F45" s="144">
        <f>IFERROR(F44/F43,0)</f>
        <v/>
      </c>
      <c r="G45" s="144">
        <f>IFERROR(G44/G43,0)</f>
        <v/>
      </c>
      <c r="H45" s="144">
        <f>IFERROR(H44/H43,0)</f>
        <v/>
      </c>
      <c r="I45" s="144">
        <f>IFERROR(I44/I43,0)</f>
        <v/>
      </c>
      <c r="J45" s="144">
        <f>IFERROR(J44/J43,0)</f>
        <v/>
      </c>
      <c r="K45" s="144">
        <f>IFERROR(K44/K43,0)</f>
        <v/>
      </c>
      <c r="L45" s="144">
        <f>IFERROR(L44/L43,0)</f>
        <v/>
      </c>
      <c r="M45" s="144">
        <f>IFERROR(M44/M43,0)</f>
        <v/>
      </c>
      <c r="N45" s="144">
        <f>IFERROR(N44/N43,0)</f>
        <v/>
      </c>
      <c r="O45" s="144">
        <f>IFERROR(O44/O43,0)</f>
        <v/>
      </c>
      <c r="P45" s="144">
        <f>IFERROR(P44/P43,0)</f>
        <v/>
      </c>
      <c r="Q45" s="144">
        <f>IFERROR(Q44/Q43,0)</f>
        <v/>
      </c>
      <c r="R45" s="144">
        <f>IFERROR(R44/R43,0)</f>
        <v/>
      </c>
      <c r="S45" s="144">
        <f>IFERROR(S44/S43,0)</f>
        <v/>
      </c>
      <c r="T45" s="144">
        <f>IFERROR(T44/T43,0)</f>
        <v/>
      </c>
      <c r="U45" s="144">
        <f>IFERROR(U44/U43,0)</f>
        <v/>
      </c>
      <c r="V45" s="144">
        <f>IFERROR(V44/V43,0)</f>
        <v/>
      </c>
      <c r="W45" s="144">
        <f>IFERROR(W44/W43,0)</f>
        <v/>
      </c>
      <c r="X45" s="144">
        <f>IFERROR(X44/X43,0)</f>
        <v/>
      </c>
      <c r="Y45" s="144">
        <f>IFERROR(Y44/Y43,0)</f>
        <v/>
      </c>
      <c r="Z45" s="144">
        <f>IFERROR(Z44/Z43,0)</f>
        <v/>
      </c>
      <c r="AA45" s="144">
        <f>IFERROR(AA44/AA43,0)</f>
        <v/>
      </c>
      <c r="AB45" s="144">
        <f>IFERROR(AB44/AB43,0)</f>
        <v/>
      </c>
      <c r="AC45" s="144">
        <f>IFERROR(AC44/AC43,0)</f>
        <v/>
      </c>
      <c r="AD45" s="144">
        <f>IFERROR(AD44/AD43,0)</f>
        <v/>
      </c>
      <c r="AE45" s="144">
        <f>IFERROR(AE44/AE43,0)</f>
        <v/>
      </c>
      <c r="AF45" s="144">
        <f>IFERROR(AF44/AF43,0)</f>
        <v/>
      </c>
      <c r="AG45" s="144">
        <f>IFERROR(AG44/AG43,0)</f>
        <v/>
      </c>
      <c r="AH45" s="144">
        <f>IFERROR(AH44/AH43,0)</f>
        <v/>
      </c>
    </row>
    <row r="46" ht="15" customHeight="1" s="118">
      <c r="C46" s="142" t="inlineStr">
        <is>
          <t>CAC (kr.)</t>
        </is>
      </c>
      <c r="D46" s="145">
        <f>IFERROR(D41/D44,0)</f>
        <v/>
      </c>
      <c r="E46" s="145">
        <f>IFERROR(E41/E44,0)</f>
        <v/>
      </c>
      <c r="F46" s="145">
        <f>IFERROR(F41/F44,0)</f>
        <v/>
      </c>
      <c r="G46" s="145">
        <f>IFERROR(G41/G44,0)</f>
        <v/>
      </c>
      <c r="H46" s="145">
        <f>IFERROR(H41/H44,0)</f>
        <v/>
      </c>
      <c r="I46" s="145">
        <f>IFERROR(I41/I44,0)</f>
        <v/>
      </c>
      <c r="J46" s="145">
        <f>IFERROR(J41/J44,0)</f>
        <v/>
      </c>
      <c r="K46" s="145">
        <f>IFERROR(K41/K44,0)</f>
        <v/>
      </c>
      <c r="L46" s="145">
        <f>IFERROR(L41/L44,0)</f>
        <v/>
      </c>
      <c r="M46" s="145">
        <f>IFERROR(M41/M44,0)</f>
        <v/>
      </c>
      <c r="N46" s="145">
        <f>IFERROR(N41/N44,0)</f>
        <v/>
      </c>
      <c r="O46" s="145">
        <f>IFERROR(O41/O44,0)</f>
        <v/>
      </c>
      <c r="P46" s="145">
        <f>IFERROR(P41/P44,0)</f>
        <v/>
      </c>
      <c r="Q46" s="145">
        <f>IFERROR(Q41/Q44,0)</f>
        <v/>
      </c>
      <c r="R46" s="145">
        <f>IFERROR(R41/R44,0)</f>
        <v/>
      </c>
      <c r="S46" s="145">
        <f>IFERROR(S41/S44,0)</f>
        <v/>
      </c>
      <c r="T46" s="145">
        <f>IFERROR(T41/T44,0)</f>
        <v/>
      </c>
      <c r="U46" s="145">
        <f>IFERROR(U41/U44,0)</f>
        <v/>
      </c>
      <c r="V46" s="145">
        <f>IFERROR(V41/V44,0)</f>
        <v/>
      </c>
      <c r="W46" s="145">
        <f>IFERROR(W41/W44,0)</f>
        <v/>
      </c>
      <c r="X46" s="145">
        <f>IFERROR(X41/X44,0)</f>
        <v/>
      </c>
      <c r="Y46" s="145">
        <f>IFERROR(Y41/Y44,0)</f>
        <v/>
      </c>
      <c r="Z46" s="145">
        <f>IFERROR(Z41/Z44,0)</f>
        <v/>
      </c>
      <c r="AA46" s="145">
        <f>IFERROR(AA41/AA44,0)</f>
        <v/>
      </c>
      <c r="AB46" s="145">
        <f>IFERROR(AB41/AB44,0)</f>
        <v/>
      </c>
      <c r="AC46" s="145">
        <f>IFERROR(AC41/AC44,0)</f>
        <v/>
      </c>
      <c r="AD46" s="145">
        <f>IFERROR(AD41/AD44,0)</f>
        <v/>
      </c>
      <c r="AE46" s="145">
        <f>IFERROR(AE41/AE44,0)</f>
        <v/>
      </c>
      <c r="AF46" s="145">
        <f>IFERROR(AF41/AF44,0)</f>
        <v/>
      </c>
      <c r="AG46" s="145">
        <f>IFERROR(AG41/AG44,0)</f>
        <v/>
      </c>
      <c r="AH46" s="145">
        <f>IFERROR(AH41/AH44,0)</f>
        <v/>
      </c>
    </row>
    <row r="48" ht="15" customHeight="1" s="118">
      <c r="B48" s="141" t="inlineStr">
        <is>
          <t>Affiliates</t>
        </is>
      </c>
      <c r="C48" s="142" t="inlineStr">
        <is>
          <t>Cost (kr.)</t>
        </is>
      </c>
      <c r="D48" s="149" t="n">
        <v>2640</v>
      </c>
      <c r="E48" s="149" t="n"/>
      <c r="F48" s="149" t="n"/>
      <c r="G48" s="149" t="n">
        <v>4800</v>
      </c>
      <c r="H48" s="149" t="n">
        <v>13200</v>
      </c>
      <c r="I48" s="149" t="n"/>
      <c r="J48" s="149" t="n">
        <v>1000</v>
      </c>
      <c r="K48" s="149" t="n">
        <v>1200</v>
      </c>
      <c r="L48" s="149" t="n">
        <v>352</v>
      </c>
      <c r="M48" s="149" t="n"/>
      <c r="N48" s="149" t="n"/>
      <c r="O48" s="149" t="n"/>
      <c r="P48" s="149" t="n"/>
      <c r="Q48" s="149" t="n"/>
      <c r="R48" s="149" t="n"/>
      <c r="S48" s="149" t="n">
        <v>30000</v>
      </c>
      <c r="T48" s="149" t="n">
        <v>96000</v>
      </c>
      <c r="U48" s="149" t="n">
        <v>118500</v>
      </c>
      <c r="V48" s="149" t="n">
        <v>102000</v>
      </c>
      <c r="W48" s="149" t="n">
        <v>112500</v>
      </c>
      <c r="X48" s="149" t="n">
        <v>103000</v>
      </c>
      <c r="Y48" s="149" t="n">
        <v>98500</v>
      </c>
      <c r="Z48" s="149" t="n">
        <v>167000</v>
      </c>
      <c r="AA48" s="149" t="n">
        <v>144500</v>
      </c>
      <c r="AB48" s="149" t="n"/>
      <c r="AC48" s="149" t="n"/>
      <c r="AD48" s="149" t="n"/>
      <c r="AE48" s="149" t="n"/>
      <c r="AF48" s="149" t="n"/>
      <c r="AG48" s="149" t="n"/>
      <c r="AH48" s="149" t="n"/>
    </row>
    <row r="49" ht="15" customHeight="1" s="118">
      <c r="C49" s="142" t="inlineStr">
        <is>
          <t>Impressions</t>
        </is>
      </c>
      <c r="D49" s="149" t="inlineStr">
        <is>
          <t>–</t>
        </is>
      </c>
      <c r="E49" s="149" t="n"/>
      <c r="F49" s="149" t="n"/>
      <c r="G49" s="149" t="n"/>
      <c r="H49" s="149" t="n"/>
      <c r="I49" s="149" t="n"/>
      <c r="J49" s="149" t="n"/>
      <c r="K49" s="149" t="n">
        <v>2000</v>
      </c>
      <c r="L49" s="149" t="n"/>
      <c r="M49" s="149" t="n"/>
      <c r="N49" s="149" t="n"/>
      <c r="O49" s="149" t="n"/>
      <c r="P49" s="149" t="n"/>
      <c r="Q49" s="149" t="n"/>
      <c r="R49" s="149" t="n"/>
      <c r="S49" s="149" t="n"/>
      <c r="T49" s="149" t="n"/>
      <c r="U49" s="149" t="n"/>
      <c r="V49" s="149" t="n"/>
      <c r="W49" s="149" t="n"/>
      <c r="X49" s="149" t="n">
        <v>0</v>
      </c>
      <c r="Y49" s="149" t="n">
        <v>0</v>
      </c>
      <c r="Z49" s="149" t="n"/>
      <c r="AA49" s="149" t="n">
        <v>0</v>
      </c>
      <c r="AB49" s="149" t="n"/>
      <c r="AC49" s="149" t="n"/>
      <c r="AD49" s="149" t="n"/>
      <c r="AE49" s="149" t="n"/>
      <c r="AF49" s="149" t="n"/>
      <c r="AG49" s="149" t="n"/>
      <c r="AH49" s="149" t="n"/>
    </row>
    <row r="50" ht="15" customHeight="1" s="118">
      <c r="C50" s="142" t="inlineStr">
        <is>
          <t>Traffic</t>
        </is>
      </c>
      <c r="D50" s="149" t="n">
        <v>511</v>
      </c>
      <c r="E50" s="149" t="n"/>
      <c r="F50" s="149" t="n"/>
      <c r="G50" s="149" t="n">
        <v>909</v>
      </c>
      <c r="H50" s="149" t="n">
        <v>2476</v>
      </c>
      <c r="I50" s="149" t="n"/>
      <c r="J50" s="149" t="n">
        <v>119</v>
      </c>
      <c r="K50" s="149" t="n">
        <v>119</v>
      </c>
      <c r="L50" s="149" t="n"/>
      <c r="M50" s="149" t="n"/>
      <c r="N50" s="149" t="n"/>
      <c r="O50" s="149" t="n"/>
      <c r="P50" s="149" t="n"/>
      <c r="Q50" s="149" t="n"/>
      <c r="R50" s="149" t="n"/>
      <c r="S50" s="149" t="n">
        <v>2392</v>
      </c>
      <c r="T50" s="149" t="n">
        <v>4629</v>
      </c>
      <c r="U50" s="149" t="n">
        <v>2779</v>
      </c>
      <c r="V50" s="149" t="n">
        <v>2341</v>
      </c>
      <c r="W50" s="149" t="n">
        <v>2780</v>
      </c>
      <c r="X50" s="149" t="n">
        <v>1678</v>
      </c>
      <c r="Y50" s="149" t="n">
        <v>2225</v>
      </c>
      <c r="Z50" s="149" t="n">
        <v>4278</v>
      </c>
      <c r="AA50" s="149" t="n">
        <v>3435</v>
      </c>
      <c r="AB50" s="149" t="n"/>
      <c r="AC50" s="149" t="n"/>
      <c r="AD50" s="149" t="n"/>
      <c r="AE50" s="149" t="n"/>
      <c r="AF50" s="149" t="n"/>
      <c r="AG50" s="149" t="n"/>
      <c r="AH50" s="149" t="n"/>
    </row>
    <row r="51" ht="15" customHeight="1" s="118">
      <c r="C51" s="142" t="inlineStr">
        <is>
          <t>Clients</t>
        </is>
      </c>
      <c r="D51" s="149" t="n">
        <v>22</v>
      </c>
      <c r="E51" s="149" t="n"/>
      <c r="F51" s="149" t="n"/>
      <c r="G51" s="149" t="n">
        <v>40</v>
      </c>
      <c r="H51" s="149" t="n">
        <v>66</v>
      </c>
      <c r="I51" s="149" t="n"/>
      <c r="J51" s="149" t="n">
        <v>7</v>
      </c>
      <c r="K51" s="149" t="n">
        <v>6</v>
      </c>
      <c r="L51" s="149" t="n">
        <v>17</v>
      </c>
      <c r="M51" s="149" t="n"/>
      <c r="N51" s="149" t="n"/>
      <c r="O51" s="149" t="n"/>
      <c r="P51" s="149" t="n"/>
      <c r="Q51" s="149" t="n"/>
      <c r="R51" s="149" t="n"/>
      <c r="S51" s="149" t="n">
        <v>60</v>
      </c>
      <c r="T51" s="149" t="n">
        <v>192</v>
      </c>
      <c r="U51" s="149" t="n">
        <v>237</v>
      </c>
      <c r="V51" s="149" t="n">
        <v>204</v>
      </c>
      <c r="W51" s="149" t="n">
        <v>225</v>
      </c>
      <c r="X51" s="149" t="n">
        <v>206</v>
      </c>
      <c r="Y51" s="149" t="n">
        <v>197</v>
      </c>
      <c r="Z51" s="149" t="n">
        <v>334</v>
      </c>
      <c r="AA51" s="149" t="n">
        <v>289</v>
      </c>
      <c r="AB51" s="149" t="n"/>
      <c r="AC51" s="149" t="n"/>
      <c r="AD51" s="149" t="n"/>
      <c r="AE51" s="149" t="n"/>
      <c r="AF51" s="149" t="n"/>
      <c r="AG51" s="149" t="n"/>
      <c r="AH51" s="149" t="n"/>
    </row>
    <row r="52" ht="15" customHeight="1" s="118">
      <c r="C52" s="142" t="inlineStr">
        <is>
          <t>CVR</t>
        </is>
      </c>
      <c r="D52" s="144">
        <f>IFERROR(D51/D50,0)</f>
        <v/>
      </c>
      <c r="E52" s="144">
        <f>IFERROR(E51/E50,0)</f>
        <v/>
      </c>
      <c r="F52" s="144">
        <f>IFERROR(F51/F50,0)</f>
        <v/>
      </c>
      <c r="G52" s="144">
        <f>IFERROR(G51/G50,0)</f>
        <v/>
      </c>
      <c r="H52" s="144">
        <f>IFERROR(H51/H50,0)</f>
        <v/>
      </c>
      <c r="I52" s="144">
        <f>IFERROR(I51/I50,0)</f>
        <v/>
      </c>
      <c r="J52" s="144">
        <f>IFERROR(J51/J50,0)</f>
        <v/>
      </c>
      <c r="K52" s="144">
        <f>IFERROR(K51/K50,0)</f>
        <v/>
      </c>
      <c r="L52" s="144">
        <f>IFERROR(L51/L50,0)</f>
        <v/>
      </c>
      <c r="M52" s="144">
        <f>IFERROR(M51/M50,0)</f>
        <v/>
      </c>
      <c r="N52" s="144">
        <f>IFERROR(N51/N50,0)</f>
        <v/>
      </c>
      <c r="O52" s="144">
        <f>IFERROR(O51/O50,0)</f>
        <v/>
      </c>
      <c r="P52" s="144">
        <f>IFERROR(P51/P50,0)</f>
        <v/>
      </c>
      <c r="Q52" s="144">
        <f>IFERROR(Q51/Q50,0)</f>
        <v/>
      </c>
      <c r="R52" s="144">
        <f>IFERROR(R51/R50,0)</f>
        <v/>
      </c>
      <c r="S52" s="144">
        <f>IFERROR(S51/S50,0)</f>
        <v/>
      </c>
      <c r="T52" s="144">
        <f>IFERROR(T51/T50,0)</f>
        <v/>
      </c>
      <c r="U52" s="144">
        <f>IFERROR(U51/U50,0)</f>
        <v/>
      </c>
      <c r="V52" s="144">
        <f>IFERROR(V51/V50,0)</f>
        <v/>
      </c>
      <c r="W52" s="144">
        <f>IFERROR(W51/W50,0)</f>
        <v/>
      </c>
      <c r="X52" s="144">
        <f>IFERROR(X51/X50,0)</f>
        <v/>
      </c>
      <c r="Y52" s="144">
        <f>IFERROR(Y51/Y50,0)</f>
        <v/>
      </c>
      <c r="Z52" s="144">
        <f>IFERROR(Z51/Z50,0)</f>
        <v/>
      </c>
      <c r="AA52" s="144">
        <f>IFERROR(AA51/AA50,0)</f>
        <v/>
      </c>
      <c r="AB52" s="144">
        <f>IFERROR(AB51/AB50,0)</f>
        <v/>
      </c>
      <c r="AC52" s="144">
        <f>IFERROR(AC51/AC50,0)</f>
        <v/>
      </c>
      <c r="AD52" s="144">
        <f>IFERROR(AD51/AD50,0)</f>
        <v/>
      </c>
      <c r="AE52" s="144">
        <f>IFERROR(AE51/AE50,0)</f>
        <v/>
      </c>
      <c r="AF52" s="144">
        <f>IFERROR(AF51/AF50,0)</f>
        <v/>
      </c>
      <c r="AG52" s="144">
        <f>IFERROR(AG51/AG50,0)</f>
        <v/>
      </c>
      <c r="AH52" s="144">
        <f>IFERROR(AH51/AH50,0)</f>
        <v/>
      </c>
    </row>
    <row r="53" ht="15" customHeight="1" s="118">
      <c r="C53" s="142" t="inlineStr">
        <is>
          <t>CAC (kr.)</t>
        </is>
      </c>
      <c r="D53" s="145">
        <f>IFERROR(D48/D51,0)</f>
        <v/>
      </c>
      <c r="E53" s="145">
        <f>IFERROR(E48/E51,0)</f>
        <v/>
      </c>
      <c r="F53" s="145">
        <f>IFERROR(F48/F51,0)</f>
        <v/>
      </c>
      <c r="G53" s="145">
        <f>IFERROR(G48/G51,0)</f>
        <v/>
      </c>
      <c r="H53" s="145">
        <f>IFERROR(H48/H51,0)</f>
        <v/>
      </c>
      <c r="I53" s="145">
        <f>IFERROR(I48/I51,0)</f>
        <v/>
      </c>
      <c r="J53" s="145">
        <f>IFERROR(J48/J51,0)</f>
        <v/>
      </c>
      <c r="K53" s="145">
        <f>IFERROR(K48/K51,0)</f>
        <v/>
      </c>
      <c r="L53" s="145">
        <f>IFERROR(L48/L51,0)</f>
        <v/>
      </c>
      <c r="M53" s="145">
        <f>IFERROR(M48/M51,0)</f>
        <v/>
      </c>
      <c r="N53" s="145">
        <f>IFERROR(N48/N51,0)</f>
        <v/>
      </c>
      <c r="O53" s="145">
        <f>IFERROR(O48/O51,0)</f>
        <v/>
      </c>
      <c r="P53" s="145">
        <f>IFERROR(P48/P51,0)</f>
        <v/>
      </c>
      <c r="Q53" s="145">
        <f>IFERROR(Q48/Q51,0)</f>
        <v/>
      </c>
      <c r="R53" s="145">
        <f>IFERROR(R48/R51,0)</f>
        <v/>
      </c>
      <c r="S53" s="145">
        <f>IFERROR(S48/S51,0)</f>
        <v/>
      </c>
      <c r="T53" s="145">
        <f>IFERROR(T48/T51,0)</f>
        <v/>
      </c>
      <c r="U53" s="145">
        <f>IFERROR(U48/U51,0)</f>
        <v/>
      </c>
      <c r="V53" s="145">
        <f>IFERROR(V48/V51,0)</f>
        <v/>
      </c>
      <c r="W53" s="145">
        <f>IFERROR(W48/W51,0)</f>
        <v/>
      </c>
      <c r="X53" s="145">
        <f>IFERROR(X48/X51,0)</f>
        <v/>
      </c>
      <c r="Y53" s="145">
        <f>IFERROR(Y48/Y51,0)</f>
        <v/>
      </c>
      <c r="Z53" s="145">
        <f>IFERROR(Z48/Z51,0)</f>
        <v/>
      </c>
      <c r="AA53" s="145">
        <f>IFERROR(AA48/AA51,0)</f>
        <v/>
      </c>
      <c r="AB53" s="145">
        <f>IFERROR(AB48/AB51,0)</f>
        <v/>
      </c>
      <c r="AC53" s="145">
        <f>IFERROR(AC48/AC51,0)</f>
        <v/>
      </c>
      <c r="AD53" s="145">
        <f>IFERROR(AD48/AD51,0)</f>
        <v/>
      </c>
      <c r="AE53" s="145">
        <f>IFERROR(AE48/AE51,0)</f>
        <v/>
      </c>
      <c r="AF53" s="145">
        <f>IFERROR(AF48/AF51,0)</f>
        <v/>
      </c>
      <c r="AG53" s="145">
        <f>IFERROR(AG48/AG51,0)</f>
        <v/>
      </c>
      <c r="AH53" s="145">
        <f>IFERROR(AH48/AH51,0)</f>
        <v/>
      </c>
    </row>
    <row r="55" ht="18" customHeight="1" s="118">
      <c r="B55" s="140" t="inlineStr">
        <is>
          <t>▪ INTERNAL INITIATIVES</t>
        </is>
      </c>
    </row>
    <row r="56" ht="15" customHeight="1" s="118">
      <c r="B56" s="141" t="inlineStr">
        <is>
          <t>Werner (LinkedIn)</t>
        </is>
      </c>
      <c r="C56" s="142" t="inlineStr">
        <is>
          <t>Cost (kr.)</t>
        </is>
      </c>
      <c r="D56" s="149" t="n"/>
      <c r="E56" s="149" t="n"/>
      <c r="F56" s="149" t="n"/>
      <c r="G56" s="149" t="n"/>
      <c r="H56" s="149" t="n"/>
      <c r="I56" s="149" t="n"/>
      <c r="J56" s="149" t="n"/>
      <c r="K56" s="149" t="n"/>
      <c r="L56" s="149" t="n"/>
      <c r="M56" s="149" t="n"/>
      <c r="N56" s="149" t="n"/>
      <c r="O56" s="149" t="n"/>
      <c r="P56" s="149" t="n"/>
      <c r="Q56" s="149" t="n"/>
      <c r="R56" s="149" t="n"/>
      <c r="S56" s="149" t="n"/>
      <c r="T56" s="149" t="n"/>
      <c r="U56" s="149" t="n"/>
      <c r="V56" s="149" t="n"/>
      <c r="W56" s="149" t="n"/>
      <c r="X56" s="149" t="n">
        <v>0</v>
      </c>
      <c r="Y56" s="149" t="n">
        <v>0</v>
      </c>
      <c r="Z56" s="149" t="n"/>
      <c r="AA56" s="149" t="n">
        <v>0</v>
      </c>
      <c r="AB56" s="149" t="n"/>
      <c r="AC56" s="149" t="n"/>
      <c r="AD56" s="149" t="n"/>
      <c r="AE56" s="149" t="n"/>
      <c r="AF56" s="149" t="n"/>
      <c r="AG56" s="149" t="n"/>
      <c r="AH56" s="149" t="n"/>
    </row>
    <row r="57" ht="15" customHeight="1" s="118">
      <c r="C57" s="142" t="inlineStr">
        <is>
          <t>Impressions</t>
        </is>
      </c>
      <c r="D57" s="149" t="n"/>
      <c r="E57" s="149" t="n"/>
      <c r="F57" s="149" t="n"/>
      <c r="G57" s="149" t="n"/>
      <c r="H57" s="149" t="n"/>
      <c r="I57" s="149" t="n"/>
      <c r="J57" s="149" t="n"/>
      <c r="K57" s="149" t="n"/>
      <c r="L57" s="149" t="n"/>
      <c r="M57" s="149" t="n"/>
      <c r="N57" s="149" t="n"/>
      <c r="O57" s="149" t="n"/>
      <c r="P57" s="149" t="n"/>
      <c r="Q57" s="149" t="n"/>
      <c r="R57" s="149" t="n"/>
      <c r="S57" s="149" t="n"/>
      <c r="T57" s="149" t="n"/>
      <c r="U57" s="149" t="n"/>
      <c r="V57" s="149" t="n"/>
      <c r="W57" s="149" t="n"/>
      <c r="X57" s="149" t="n">
        <v>0</v>
      </c>
      <c r="Y57" s="149" t="n">
        <v>0</v>
      </c>
      <c r="Z57" s="149" t="n"/>
      <c r="AA57" s="149" t="n">
        <v>0</v>
      </c>
      <c r="AB57" s="149" t="n"/>
      <c r="AC57" s="149" t="n"/>
      <c r="AD57" s="149" t="n"/>
      <c r="AE57" s="149" t="n"/>
      <c r="AF57" s="149" t="n"/>
      <c r="AG57" s="149" t="n"/>
      <c r="AH57" s="149" t="n"/>
    </row>
    <row r="58" ht="15" customHeight="1" s="118">
      <c r="C58" s="142" t="inlineStr">
        <is>
          <t>Traffic</t>
        </is>
      </c>
      <c r="D58" s="149" t="n"/>
      <c r="E58" s="149" t="n"/>
      <c r="F58" s="149" t="n"/>
      <c r="G58" s="149" t="n"/>
      <c r="H58" s="149" t="n"/>
      <c r="I58" s="149" t="n"/>
      <c r="J58" s="149" t="n"/>
      <c r="K58" s="149" t="n"/>
      <c r="L58" s="149" t="n"/>
      <c r="M58" s="149" t="n"/>
      <c r="N58" s="149" t="n"/>
      <c r="O58" s="149" t="n"/>
      <c r="P58" s="149" t="n"/>
      <c r="Q58" s="149" t="n"/>
      <c r="R58" s="149" t="n"/>
      <c r="S58" s="149" t="n"/>
      <c r="T58" s="149" t="n"/>
      <c r="U58" s="149" t="n"/>
      <c r="V58" s="149" t="n"/>
      <c r="W58" s="149" t="n"/>
      <c r="X58" s="149" t="n">
        <v>0</v>
      </c>
      <c r="Y58" s="149" t="n">
        <v>0</v>
      </c>
      <c r="Z58" s="149" t="n"/>
      <c r="AA58" s="149" t="n">
        <v>0</v>
      </c>
      <c r="AB58" s="149" t="n"/>
      <c r="AC58" s="149" t="n"/>
      <c r="AD58" s="149" t="n"/>
      <c r="AE58" s="149" t="n"/>
      <c r="AF58" s="149" t="n"/>
      <c r="AG58" s="149" t="n"/>
      <c r="AH58" s="149" t="n"/>
    </row>
    <row r="59" ht="15" customHeight="1" s="118">
      <c r="C59" s="142" t="inlineStr">
        <is>
          <t>Clients</t>
        </is>
      </c>
      <c r="D59" s="149" t="n"/>
      <c r="E59" s="149" t="n"/>
      <c r="F59" s="149" t="n"/>
      <c r="G59" s="149" t="n"/>
      <c r="H59" s="149" t="n"/>
      <c r="I59" s="149" t="n"/>
      <c r="J59" s="149" t="n"/>
      <c r="K59" s="149" t="n"/>
      <c r="L59" s="149" t="n"/>
      <c r="M59" s="149" t="n"/>
      <c r="N59" s="149" t="n"/>
      <c r="O59" s="149" t="n"/>
      <c r="P59" s="149" t="n"/>
      <c r="Q59" s="149" t="n"/>
      <c r="R59" s="149" t="n"/>
      <c r="S59" s="149" t="n"/>
      <c r="T59" s="149" t="n"/>
      <c r="U59" s="149" t="n"/>
      <c r="V59" s="149" t="n"/>
      <c r="W59" s="149" t="n"/>
      <c r="X59" s="149" t="n">
        <v>0</v>
      </c>
      <c r="Y59" s="149" t="n">
        <v>0</v>
      </c>
      <c r="Z59" s="149" t="n"/>
      <c r="AA59" s="149" t="n">
        <v>0</v>
      </c>
      <c r="AB59" s="149" t="n"/>
      <c r="AC59" s="149" t="n"/>
      <c r="AD59" s="149" t="n"/>
      <c r="AE59" s="149" t="n"/>
      <c r="AF59" s="149" t="n"/>
      <c r="AG59" s="149" t="n"/>
      <c r="AH59" s="149" t="n"/>
    </row>
    <row r="60" ht="15" customHeight="1" s="118">
      <c r="C60" s="142" t="inlineStr">
        <is>
          <t>CVR</t>
        </is>
      </c>
      <c r="D60" s="144">
        <f>IFERROR(D59/D58,0)</f>
        <v/>
      </c>
      <c r="E60" s="144">
        <f>IFERROR(E59/E58,0)</f>
        <v/>
      </c>
      <c r="F60" s="144">
        <f>IFERROR(F59/F58,0)</f>
        <v/>
      </c>
      <c r="G60" s="144">
        <f>IFERROR(G59/G58,0)</f>
        <v/>
      </c>
      <c r="H60" s="144">
        <f>IFERROR(H59/H58,0)</f>
        <v/>
      </c>
      <c r="I60" s="144">
        <f>IFERROR(I59/I58,0)</f>
        <v/>
      </c>
      <c r="J60" s="144">
        <f>IFERROR(J59/J58,0)</f>
        <v/>
      </c>
      <c r="K60" s="144">
        <f>IFERROR(K59/K58,0)</f>
        <v/>
      </c>
      <c r="L60" s="144">
        <f>IFERROR(L59/L58,0)</f>
        <v/>
      </c>
      <c r="M60" s="144">
        <f>IFERROR(M59/M58,0)</f>
        <v/>
      </c>
      <c r="N60" s="144">
        <f>IFERROR(N59/N58,0)</f>
        <v/>
      </c>
      <c r="O60" s="144">
        <f>IFERROR(O59/O58,0)</f>
        <v/>
      </c>
      <c r="P60" s="144">
        <f>IFERROR(P59/P58,0)</f>
        <v/>
      </c>
      <c r="Q60" s="144">
        <f>IFERROR(Q59/Q58,0)</f>
        <v/>
      </c>
      <c r="R60" s="144">
        <f>IFERROR(R59/R58,0)</f>
        <v/>
      </c>
      <c r="S60" s="144">
        <f>IFERROR(S59/S58,0)</f>
        <v/>
      </c>
      <c r="T60" s="144">
        <f>IFERROR(T59/T58,0)</f>
        <v/>
      </c>
      <c r="U60" s="144">
        <f>IFERROR(U59/U58,0)</f>
        <v/>
      </c>
      <c r="V60" s="144">
        <f>IFERROR(V59/V58,0)</f>
        <v/>
      </c>
      <c r="W60" s="144">
        <f>IFERROR(W59/W58,0)</f>
        <v/>
      </c>
      <c r="X60" s="144">
        <f>IFERROR(X59/X58,0)</f>
        <v/>
      </c>
      <c r="Y60" s="144">
        <f>IFERROR(Y59/Y58,0)</f>
        <v/>
      </c>
      <c r="Z60" s="144">
        <f>IFERROR(Z59/Z58,0)</f>
        <v/>
      </c>
      <c r="AA60" s="144">
        <f>IFERROR(AA59/AA58,0)</f>
        <v/>
      </c>
      <c r="AB60" s="144">
        <f>IFERROR(AB59/AB58,0)</f>
        <v/>
      </c>
      <c r="AC60" s="144">
        <f>IFERROR(AC59/AC58,0)</f>
        <v/>
      </c>
      <c r="AD60" s="144">
        <f>IFERROR(AD59/AD58,0)</f>
        <v/>
      </c>
      <c r="AE60" s="144">
        <f>IFERROR(AE59/AE58,0)</f>
        <v/>
      </c>
      <c r="AF60" s="144">
        <f>IFERROR(AF59/AF58,0)</f>
        <v/>
      </c>
      <c r="AG60" s="144">
        <f>IFERROR(AG59/AG58,0)</f>
        <v/>
      </c>
      <c r="AH60" s="144">
        <f>IFERROR(AH59/AH58,0)</f>
        <v/>
      </c>
    </row>
    <row r="61" ht="15" customHeight="1" s="118">
      <c r="C61" s="142" t="inlineStr">
        <is>
          <t>CAC (kr.)</t>
        </is>
      </c>
      <c r="D61" s="145">
        <f>IFERROR(D56/D59,0)</f>
        <v/>
      </c>
      <c r="E61" s="145">
        <f>IFERROR(E56/E59,0)</f>
        <v/>
      </c>
      <c r="F61" s="145">
        <f>IFERROR(F56/F59,0)</f>
        <v/>
      </c>
      <c r="G61" s="145">
        <f>IFERROR(G56/G59,0)</f>
        <v/>
      </c>
      <c r="H61" s="145">
        <f>IFERROR(H56/H59,0)</f>
        <v/>
      </c>
      <c r="I61" s="145">
        <f>IFERROR(I56/I59,0)</f>
        <v/>
      </c>
      <c r="J61" s="145">
        <f>IFERROR(J56/J59,0)</f>
        <v/>
      </c>
      <c r="K61" s="145">
        <f>IFERROR(K56/K59,0)</f>
        <v/>
      </c>
      <c r="L61" s="145">
        <f>IFERROR(L56/L59,0)</f>
        <v/>
      </c>
      <c r="M61" s="145">
        <f>IFERROR(M56/M59,0)</f>
        <v/>
      </c>
      <c r="N61" s="145">
        <f>IFERROR(N56/N59,0)</f>
        <v/>
      </c>
      <c r="O61" s="145">
        <f>IFERROR(O56/O59,0)</f>
        <v/>
      </c>
      <c r="P61" s="145">
        <f>IFERROR(P56/P59,0)</f>
        <v/>
      </c>
      <c r="Q61" s="145">
        <f>IFERROR(Q56/Q59,0)</f>
        <v/>
      </c>
      <c r="R61" s="145">
        <f>IFERROR(R56/R59,0)</f>
        <v/>
      </c>
      <c r="S61" s="145">
        <f>IFERROR(S56/S59,0)</f>
        <v/>
      </c>
      <c r="T61" s="145">
        <f>IFERROR(T56/T59,0)</f>
        <v/>
      </c>
      <c r="U61" s="145">
        <f>IFERROR(U56/U59,0)</f>
        <v/>
      </c>
      <c r="V61" s="145">
        <f>IFERROR(V56/V59,0)</f>
        <v/>
      </c>
      <c r="W61" s="145">
        <f>IFERROR(W56/W59,0)</f>
        <v/>
      </c>
      <c r="X61" s="145">
        <f>IFERROR(X56/X59,0)</f>
        <v/>
      </c>
      <c r="Y61" s="145">
        <f>IFERROR(Y56/Y59,0)</f>
        <v/>
      </c>
      <c r="Z61" s="145">
        <f>IFERROR(Z56/Z59,0)</f>
        <v/>
      </c>
      <c r="AA61" s="145">
        <f>IFERROR(AA56/AA59,0)</f>
        <v/>
      </c>
      <c r="AB61" s="145">
        <f>IFERROR(AB56/AB59,0)</f>
        <v/>
      </c>
      <c r="AC61" s="145">
        <f>IFERROR(AC56/AC59,0)</f>
        <v/>
      </c>
      <c r="AD61" s="145">
        <f>IFERROR(AD56/AD59,0)</f>
        <v/>
      </c>
      <c r="AE61" s="145">
        <f>IFERROR(AE56/AE59,0)</f>
        <v/>
      </c>
      <c r="AF61" s="145">
        <f>IFERROR(AF56/AF59,0)</f>
        <v/>
      </c>
      <c r="AG61" s="145">
        <f>IFERROR(AG56/AG59,0)</f>
        <v/>
      </c>
      <c r="AH61" s="145">
        <f>IFERROR(AH56/AH59,0)</f>
        <v/>
      </c>
    </row>
    <row r="63" ht="15" customHeight="1" s="118">
      <c r="B63" s="141" t="inlineStr">
        <is>
          <t>Other (internal)</t>
        </is>
      </c>
      <c r="C63" s="142" t="inlineStr">
        <is>
          <t>Cost (kr.)</t>
        </is>
      </c>
      <c r="D63" s="149" t="n"/>
      <c r="E63" s="149" t="n"/>
      <c r="F63" s="149" t="n"/>
      <c r="G63" s="149" t="n"/>
      <c r="H63" s="149" t="n"/>
      <c r="I63" s="149" t="n"/>
      <c r="J63" s="149" t="n"/>
      <c r="K63" s="149" t="n"/>
      <c r="L63" s="149" t="n"/>
      <c r="M63" s="149" t="n"/>
      <c r="N63" s="149" t="n"/>
      <c r="O63" s="149" t="n"/>
      <c r="P63" s="149" t="n"/>
      <c r="Q63" s="149" t="n"/>
      <c r="R63" s="149" t="n"/>
      <c r="S63" s="149" t="n"/>
      <c r="T63" s="149" t="n"/>
      <c r="U63" s="149" t="n"/>
      <c r="V63" s="149" t="n"/>
      <c r="W63" s="149" t="n"/>
      <c r="X63" s="149" t="n">
        <v>0</v>
      </c>
      <c r="Y63" s="149" t="n">
        <v>0</v>
      </c>
      <c r="Z63" s="149" t="n"/>
      <c r="AA63" s="149" t="n">
        <v>0</v>
      </c>
      <c r="AB63" s="149" t="n"/>
      <c r="AC63" s="149" t="n"/>
      <c r="AD63" s="149" t="n"/>
      <c r="AE63" s="149" t="n"/>
      <c r="AF63" s="149" t="n"/>
      <c r="AG63" s="149" t="n"/>
      <c r="AH63" s="149" t="n"/>
    </row>
    <row r="64" ht="15" customHeight="1" s="118">
      <c r="C64" s="142" t="inlineStr">
        <is>
          <t>Impressions</t>
        </is>
      </c>
      <c r="D64" s="149" t="n"/>
      <c r="E64" s="149" t="n"/>
      <c r="F64" s="149" t="n"/>
      <c r="G64" s="149" t="n"/>
      <c r="H64" s="149" t="n"/>
      <c r="I64" s="149" t="n"/>
      <c r="J64" s="149" t="n"/>
      <c r="K64" s="149" t="n"/>
      <c r="L64" s="149" t="n"/>
      <c r="M64" s="149" t="n"/>
      <c r="N64" s="149" t="n"/>
      <c r="O64" s="149" t="n"/>
      <c r="P64" s="149" t="n"/>
      <c r="Q64" s="149" t="n"/>
      <c r="R64" s="149" t="n"/>
      <c r="S64" s="149" t="n"/>
      <c r="T64" s="149" t="n"/>
      <c r="U64" s="149" t="n"/>
      <c r="V64" s="149" t="n"/>
      <c r="W64" s="149" t="n"/>
      <c r="X64" s="149" t="n">
        <v>0</v>
      </c>
      <c r="Y64" s="149" t="n">
        <v>0</v>
      </c>
      <c r="Z64" s="149" t="n"/>
      <c r="AA64" s="149" t="n">
        <v>0</v>
      </c>
      <c r="AB64" s="149" t="n"/>
      <c r="AC64" s="149" t="n"/>
      <c r="AD64" s="149" t="n"/>
      <c r="AE64" s="149" t="n"/>
      <c r="AF64" s="149" t="n"/>
      <c r="AG64" s="149" t="n"/>
      <c r="AH64" s="149" t="n"/>
    </row>
    <row r="65" ht="15" customHeight="1" s="118">
      <c r="C65" s="142" t="inlineStr">
        <is>
          <t>Traffic</t>
        </is>
      </c>
      <c r="D65" s="149" t="n"/>
      <c r="E65" s="149" t="n"/>
      <c r="F65" s="149" t="n"/>
      <c r="G65" s="149" t="n"/>
      <c r="H65" s="149" t="n"/>
      <c r="I65" s="149" t="n"/>
      <c r="J65" s="149" t="n"/>
      <c r="K65" s="149" t="n"/>
      <c r="L65" s="149" t="n"/>
      <c r="M65" s="149" t="n"/>
      <c r="N65" s="149" t="n"/>
      <c r="O65" s="149" t="n"/>
      <c r="P65" s="149" t="n"/>
      <c r="Q65" s="149" t="n"/>
      <c r="R65" s="149" t="n"/>
      <c r="S65" s="149" t="n"/>
      <c r="T65" s="149" t="n"/>
      <c r="U65" s="149" t="n"/>
      <c r="V65" s="149" t="n"/>
      <c r="W65" s="149" t="n"/>
      <c r="X65" s="149" t="n">
        <v>0</v>
      </c>
      <c r="Y65" s="149" t="n">
        <v>0</v>
      </c>
      <c r="Z65" s="149" t="n"/>
      <c r="AA65" s="149" t="n">
        <v>0</v>
      </c>
      <c r="AB65" s="149" t="n"/>
      <c r="AC65" s="149" t="n"/>
      <c r="AD65" s="149" t="n"/>
      <c r="AE65" s="149" t="n"/>
      <c r="AF65" s="149" t="n"/>
      <c r="AG65" s="149" t="n"/>
      <c r="AH65" s="149" t="n"/>
    </row>
    <row r="66" ht="15" customHeight="1" s="118">
      <c r="C66" s="142" t="inlineStr">
        <is>
          <t>Clients</t>
        </is>
      </c>
      <c r="D66" s="149" t="n"/>
      <c r="E66" s="149" t="n"/>
      <c r="F66" s="149" t="n"/>
      <c r="G66" s="149" t="n"/>
      <c r="H66" s="149" t="n"/>
      <c r="I66" s="149" t="n"/>
      <c r="J66" s="149" t="n"/>
      <c r="K66" s="149" t="n"/>
      <c r="L66" s="149" t="n"/>
      <c r="M66" s="149" t="n"/>
      <c r="N66" s="149" t="n"/>
      <c r="O66" s="149" t="n"/>
      <c r="P66" s="149" t="n"/>
      <c r="Q66" s="149" t="n"/>
      <c r="R66" s="149" t="n"/>
      <c r="S66" s="149" t="n"/>
      <c r="T66" s="149" t="n"/>
      <c r="U66" s="149" t="n"/>
      <c r="V66" s="149" t="n"/>
      <c r="W66" s="149" t="n"/>
      <c r="X66" s="149" t="n">
        <v>0</v>
      </c>
      <c r="Y66" s="149" t="n">
        <v>0</v>
      </c>
      <c r="Z66" s="149" t="n"/>
      <c r="AA66" s="149" t="n">
        <v>0</v>
      </c>
      <c r="AB66" s="149" t="n"/>
      <c r="AC66" s="149" t="n"/>
      <c r="AD66" s="149" t="n"/>
      <c r="AE66" s="149" t="n"/>
      <c r="AF66" s="149" t="n"/>
      <c r="AG66" s="149" t="n"/>
      <c r="AH66" s="149" t="n"/>
    </row>
    <row r="67" ht="15" customHeight="1" s="118">
      <c r="C67" s="142" t="inlineStr">
        <is>
          <t>CVR</t>
        </is>
      </c>
      <c r="D67" s="144">
        <f>IFERROR(D66/D65,0)</f>
        <v/>
      </c>
      <c r="E67" s="144">
        <f>IFERROR(E66/E65,0)</f>
        <v/>
      </c>
      <c r="F67" s="144">
        <f>IFERROR(F66/F65,0)</f>
        <v/>
      </c>
      <c r="G67" s="144">
        <f>IFERROR(G66/G65,0)</f>
        <v/>
      </c>
      <c r="H67" s="144">
        <f>IFERROR(H66/H65,0)</f>
        <v/>
      </c>
      <c r="I67" s="144">
        <f>IFERROR(I66/I65,0)</f>
        <v/>
      </c>
      <c r="J67" s="144">
        <f>IFERROR(J66/J65,0)</f>
        <v/>
      </c>
      <c r="K67" s="144">
        <f>IFERROR(K66/K65,0)</f>
        <v/>
      </c>
      <c r="L67" s="144">
        <f>IFERROR(L66/L65,0)</f>
        <v/>
      </c>
      <c r="M67" s="144">
        <f>IFERROR(M66/M65,0)</f>
        <v/>
      </c>
      <c r="N67" s="144">
        <f>IFERROR(N66/N65,0)</f>
        <v/>
      </c>
      <c r="O67" s="144">
        <f>IFERROR(O66/O65,0)</f>
        <v/>
      </c>
      <c r="P67" s="144">
        <f>IFERROR(P66/P65,0)</f>
        <v/>
      </c>
      <c r="Q67" s="144">
        <f>IFERROR(Q66/Q65,0)</f>
        <v/>
      </c>
      <c r="R67" s="144">
        <f>IFERROR(R66/R65,0)</f>
        <v/>
      </c>
      <c r="S67" s="144">
        <f>IFERROR(S66/S65,0)</f>
        <v/>
      </c>
      <c r="T67" s="144">
        <f>IFERROR(T66/T65,0)</f>
        <v/>
      </c>
      <c r="U67" s="144">
        <f>IFERROR(U66/U65,0)</f>
        <v/>
      </c>
      <c r="V67" s="144">
        <f>IFERROR(V66/V65,0)</f>
        <v/>
      </c>
      <c r="W67" s="144">
        <f>IFERROR(W66/W65,0)</f>
        <v/>
      </c>
      <c r="X67" s="144">
        <f>IFERROR(X66/X65,0)</f>
        <v/>
      </c>
      <c r="Y67" s="144">
        <f>IFERROR(Y66/Y65,0)</f>
        <v/>
      </c>
      <c r="Z67" s="144">
        <f>IFERROR(Z66/Z65,0)</f>
        <v/>
      </c>
      <c r="AA67" s="144">
        <f>IFERROR(AA66/AA65,0)</f>
        <v/>
      </c>
      <c r="AB67" s="144">
        <f>IFERROR(AB66/AB65,0)</f>
        <v/>
      </c>
      <c r="AC67" s="144">
        <f>IFERROR(AC66/AC65,0)</f>
        <v/>
      </c>
      <c r="AD67" s="144">
        <f>IFERROR(AD66/AD65,0)</f>
        <v/>
      </c>
      <c r="AE67" s="144">
        <f>IFERROR(AE66/AE65,0)</f>
        <v/>
      </c>
      <c r="AF67" s="144">
        <f>IFERROR(AF66/AF65,0)</f>
        <v/>
      </c>
      <c r="AG67" s="144">
        <f>IFERROR(AG66/AG65,0)</f>
        <v/>
      </c>
      <c r="AH67" s="144">
        <f>IFERROR(AH66/AH65,0)</f>
        <v/>
      </c>
    </row>
    <row r="68" ht="15" customHeight="1" s="118">
      <c r="C68" s="142" t="inlineStr">
        <is>
          <t>CAC (kr.)</t>
        </is>
      </c>
      <c r="D68" s="145">
        <f>IFERROR(D63/D66,0)</f>
        <v/>
      </c>
      <c r="E68" s="145">
        <f>IFERROR(E63/E66,0)</f>
        <v/>
      </c>
      <c r="F68" s="145">
        <f>IFERROR(F63/F66,0)</f>
        <v/>
      </c>
      <c r="G68" s="145">
        <f>IFERROR(G63/G66,0)</f>
        <v/>
      </c>
      <c r="H68" s="145">
        <f>IFERROR(H63/H66,0)</f>
        <v/>
      </c>
      <c r="I68" s="145">
        <f>IFERROR(I63/I66,0)</f>
        <v/>
      </c>
      <c r="J68" s="145">
        <f>IFERROR(J63/J66,0)</f>
        <v/>
      </c>
      <c r="K68" s="145">
        <f>IFERROR(K63/K66,0)</f>
        <v/>
      </c>
      <c r="L68" s="145">
        <f>IFERROR(L63/L66,0)</f>
        <v/>
      </c>
      <c r="M68" s="145">
        <f>IFERROR(M63/M66,0)</f>
        <v/>
      </c>
      <c r="N68" s="145">
        <f>IFERROR(N63/N66,0)</f>
        <v/>
      </c>
      <c r="O68" s="145">
        <f>IFERROR(O63/O66,0)</f>
        <v/>
      </c>
      <c r="P68" s="145">
        <f>IFERROR(P63/P66,0)</f>
        <v/>
      </c>
      <c r="Q68" s="145">
        <f>IFERROR(Q63/Q66,0)</f>
        <v/>
      </c>
      <c r="R68" s="145">
        <f>IFERROR(R63/R66,0)</f>
        <v/>
      </c>
      <c r="S68" s="145">
        <f>IFERROR(S63/S66,0)</f>
        <v/>
      </c>
      <c r="T68" s="145">
        <f>IFERROR(T63/T66,0)</f>
        <v/>
      </c>
      <c r="U68" s="145">
        <f>IFERROR(U63/U66,0)</f>
        <v/>
      </c>
      <c r="V68" s="145">
        <f>IFERROR(V63/V66,0)</f>
        <v/>
      </c>
      <c r="W68" s="145">
        <f>IFERROR(W63/W66,0)</f>
        <v/>
      </c>
      <c r="X68" s="145">
        <f>IFERROR(X63/X66,0)</f>
        <v/>
      </c>
      <c r="Y68" s="145">
        <f>IFERROR(Y63/Y66,0)</f>
        <v/>
      </c>
      <c r="Z68" s="145">
        <f>IFERROR(Z63/Z66,0)</f>
        <v/>
      </c>
      <c r="AA68" s="145">
        <f>IFERROR(AA63/AA66,0)</f>
        <v/>
      </c>
      <c r="AB68" s="145">
        <f>IFERROR(AB63/AB66,0)</f>
        <v/>
      </c>
      <c r="AC68" s="145">
        <f>IFERROR(AC63/AC66,0)</f>
        <v/>
      </c>
      <c r="AD68" s="145">
        <f>IFERROR(AD63/AD66,0)</f>
        <v/>
      </c>
      <c r="AE68" s="145">
        <f>IFERROR(AE63/AE66,0)</f>
        <v/>
      </c>
      <c r="AF68" s="145">
        <f>IFERROR(AF63/AF66,0)</f>
        <v/>
      </c>
      <c r="AG68" s="145">
        <f>IFERROR(AG63/AG66,0)</f>
        <v/>
      </c>
      <c r="AH68" s="145">
        <f>IFERROR(AH63/AH66,0)</f>
        <v/>
      </c>
    </row>
    <row r="70" ht="18" customHeight="1" s="118">
      <c r="B70" s="140" t="inlineStr">
        <is>
          <t>▪ GROWTH INITIATIVES</t>
        </is>
      </c>
    </row>
    <row r="71" ht="15" customHeight="1" s="118">
      <c r="B71" s="141" t="inlineStr">
        <is>
          <t>TV2</t>
        </is>
      </c>
      <c r="C71" s="142" t="inlineStr">
        <is>
          <t>Cost (kr.)</t>
        </is>
      </c>
      <c r="D71" s="149" t="n"/>
      <c r="E71" s="149" t="n"/>
      <c r="F71" s="149" t="n"/>
      <c r="G71" s="149" t="n"/>
      <c r="H71" s="149" t="n"/>
      <c r="I71" s="149" t="n"/>
      <c r="J71" s="149" t="n"/>
      <c r="K71" s="149" t="n"/>
      <c r="L71" s="149" t="n"/>
      <c r="M71" s="149" t="n"/>
      <c r="N71" s="149" t="n"/>
      <c r="O71" s="149" t="n"/>
      <c r="P71" s="149" t="n"/>
      <c r="Q71" s="149" t="n"/>
      <c r="R71" s="149" t="n">
        <v>348875</v>
      </c>
      <c r="S71" s="149" t="n"/>
      <c r="T71" s="149" t="n"/>
      <c r="U71" s="149" t="n"/>
      <c r="V71" s="149" t="n"/>
      <c r="W71" s="149" t="n"/>
      <c r="X71" s="149" t="n">
        <v>0</v>
      </c>
      <c r="Y71" s="149" t="n">
        <v>0</v>
      </c>
      <c r="Z71" s="149" t="n"/>
      <c r="AA71" s="149" t="n">
        <v>0</v>
      </c>
      <c r="AB71" s="149" t="n"/>
      <c r="AC71" s="149" t="n"/>
      <c r="AD71" s="149" t="n"/>
      <c r="AE71" s="149" t="n"/>
      <c r="AF71" s="149" t="n"/>
      <c r="AG71" s="149" t="n"/>
      <c r="AH71" s="149" t="n"/>
    </row>
    <row r="72" ht="15" customHeight="1" s="118">
      <c r="C72" s="142" t="inlineStr">
        <is>
          <t>Impressions</t>
        </is>
      </c>
      <c r="D72" s="149" t="n"/>
      <c r="E72" s="149" t="n"/>
      <c r="F72" s="149" t="n"/>
      <c r="G72" s="149" t="n"/>
      <c r="H72" s="149" t="n"/>
      <c r="I72" s="149" t="n"/>
      <c r="J72" s="149" t="n"/>
      <c r="K72" s="149" t="n"/>
      <c r="L72" s="149" t="n"/>
      <c r="M72" s="149" t="n"/>
      <c r="N72" s="149" t="n"/>
      <c r="O72" s="149" t="n"/>
      <c r="P72" s="149" t="n"/>
      <c r="Q72" s="149" t="n"/>
      <c r="R72" s="149" t="n">
        <v>8017000</v>
      </c>
      <c r="S72" s="149" t="n"/>
      <c r="T72" s="149" t="n"/>
      <c r="U72" s="149" t="n"/>
      <c r="V72" s="149" t="n"/>
      <c r="W72" s="149" t="n"/>
      <c r="X72" s="149" t="n">
        <v>0</v>
      </c>
      <c r="Y72" s="149" t="n">
        <v>0</v>
      </c>
      <c r="Z72" s="149" t="n"/>
      <c r="AA72" s="149" t="n">
        <v>0</v>
      </c>
      <c r="AB72" s="149" t="n"/>
      <c r="AC72" s="149" t="n"/>
      <c r="AD72" s="149" t="n"/>
      <c r="AE72" s="149" t="n"/>
      <c r="AF72" s="149" t="n"/>
      <c r="AG72" s="149" t="n"/>
      <c r="AH72" s="149" t="n"/>
    </row>
    <row r="73" ht="15" customHeight="1" s="118">
      <c r="C73" s="142" t="inlineStr">
        <is>
          <t>Traffic</t>
        </is>
      </c>
      <c r="D73" s="149" t="n"/>
      <c r="E73" s="149" t="n"/>
      <c r="F73" s="149" t="n"/>
      <c r="G73" s="149" t="n"/>
      <c r="H73" s="149" t="n"/>
      <c r="I73" s="149" t="n"/>
      <c r="J73" s="149" t="n"/>
      <c r="K73" s="149" t="n"/>
      <c r="L73" s="149" t="n"/>
      <c r="M73" s="149" t="n"/>
      <c r="N73" s="149" t="n"/>
      <c r="O73" s="149" t="n"/>
      <c r="P73" s="149" t="n"/>
      <c r="Q73" s="149" t="n"/>
      <c r="R73" s="149" t="n"/>
      <c r="S73" s="149" t="n"/>
      <c r="T73" s="149" t="n"/>
      <c r="U73" s="149" t="n"/>
      <c r="V73" s="149" t="n"/>
      <c r="W73" s="149" t="n"/>
      <c r="X73" s="149" t="n">
        <v>0</v>
      </c>
      <c r="Y73" s="149" t="n">
        <v>0</v>
      </c>
      <c r="Z73" s="149" t="n"/>
      <c r="AA73" s="149" t="n">
        <v>0</v>
      </c>
      <c r="AB73" s="149" t="n"/>
      <c r="AC73" s="149" t="n"/>
      <c r="AD73" s="149" t="n"/>
      <c r="AE73" s="149" t="n"/>
      <c r="AF73" s="149" t="n"/>
      <c r="AG73" s="149" t="n"/>
      <c r="AH73" s="149" t="n"/>
    </row>
    <row r="74" ht="15" customHeight="1" s="118">
      <c r="C74" s="142" t="inlineStr">
        <is>
          <t>Clients</t>
        </is>
      </c>
      <c r="D74" s="149" t="n"/>
      <c r="E74" s="149" t="n"/>
      <c r="F74" s="149" t="n"/>
      <c r="G74" s="149" t="n"/>
      <c r="H74" s="149" t="n"/>
      <c r="I74" s="149" t="n"/>
      <c r="J74" s="149" t="n"/>
      <c r="K74" s="149" t="n"/>
      <c r="L74" s="149" t="n"/>
      <c r="M74" s="149" t="n"/>
      <c r="N74" s="149" t="n"/>
      <c r="O74" s="149" t="n"/>
      <c r="P74" s="149" t="n"/>
      <c r="Q74" s="149" t="n"/>
      <c r="R74" s="149" t="n">
        <v>157</v>
      </c>
      <c r="S74" s="149" t="n"/>
      <c r="T74" s="149" t="n"/>
      <c r="U74" s="149" t="n"/>
      <c r="V74" s="149" t="n"/>
      <c r="W74" s="149" t="n"/>
      <c r="X74" s="149" t="n">
        <v>0</v>
      </c>
      <c r="Y74" s="149" t="n">
        <v>0</v>
      </c>
      <c r="Z74" s="149" t="n"/>
      <c r="AA74" s="149" t="n">
        <v>0</v>
      </c>
      <c r="AB74" s="149" t="n"/>
      <c r="AC74" s="149" t="n"/>
      <c r="AD74" s="149" t="n"/>
      <c r="AE74" s="149" t="n"/>
      <c r="AF74" s="149" t="n"/>
      <c r="AG74" s="149" t="n"/>
      <c r="AH74" s="149" t="n"/>
    </row>
    <row r="75" ht="15" customHeight="1" s="118">
      <c r="C75" s="142" t="inlineStr">
        <is>
          <t>CVR</t>
        </is>
      </c>
      <c r="D75" s="144">
        <f>IFERROR(D74/D73,0)</f>
        <v/>
      </c>
      <c r="E75" s="144">
        <f>IFERROR(E74/E73,0)</f>
        <v/>
      </c>
      <c r="F75" s="144">
        <f>IFERROR(F74/F73,0)</f>
        <v/>
      </c>
      <c r="G75" s="144">
        <f>IFERROR(G74/G73,0)</f>
        <v/>
      </c>
      <c r="H75" s="144">
        <f>IFERROR(H74/H73,0)</f>
        <v/>
      </c>
      <c r="I75" s="144">
        <f>IFERROR(I74/I73,0)</f>
        <v/>
      </c>
      <c r="J75" s="144">
        <f>IFERROR(J74/J73,0)</f>
        <v/>
      </c>
      <c r="K75" s="144">
        <f>IFERROR(K74/K73,0)</f>
        <v/>
      </c>
      <c r="L75" s="144">
        <f>IFERROR(L74/L73,0)</f>
        <v/>
      </c>
      <c r="M75" s="144">
        <f>IFERROR(M74/M73,0)</f>
        <v/>
      </c>
      <c r="N75" s="144">
        <f>IFERROR(N74/N73,0)</f>
        <v/>
      </c>
      <c r="O75" s="144">
        <f>IFERROR(O74/O73,0)</f>
        <v/>
      </c>
      <c r="P75" s="144">
        <f>IFERROR(P74/P73,0)</f>
        <v/>
      </c>
      <c r="Q75" s="144">
        <f>IFERROR(Q74/Q73,0)</f>
        <v/>
      </c>
      <c r="R75" s="144">
        <f>IFERROR(R74/R73,0)</f>
        <v/>
      </c>
      <c r="S75" s="144">
        <f>IFERROR(S74/S73,0)</f>
        <v/>
      </c>
      <c r="T75" s="144">
        <f>IFERROR(T74/T73,0)</f>
        <v/>
      </c>
      <c r="U75" s="144">
        <f>IFERROR(U74/U73,0)</f>
        <v/>
      </c>
      <c r="V75" s="144">
        <f>IFERROR(V74/V73,0)</f>
        <v/>
      </c>
      <c r="W75" s="144">
        <f>IFERROR(W74/W73,0)</f>
        <v/>
      </c>
      <c r="X75" s="144">
        <f>IFERROR(X74/X73,0)</f>
        <v/>
      </c>
      <c r="Y75" s="144">
        <f>IFERROR(Y74/Y73,0)</f>
        <v/>
      </c>
      <c r="Z75" s="144">
        <f>IFERROR(Z74/Z73,0)</f>
        <v/>
      </c>
      <c r="AA75" s="144">
        <f>IFERROR(AA74/AA73,0)</f>
        <v/>
      </c>
      <c r="AB75" s="144">
        <f>IFERROR(AB74/AB73,0)</f>
        <v/>
      </c>
      <c r="AC75" s="144">
        <f>IFERROR(AC74/AC73,0)</f>
        <v/>
      </c>
      <c r="AD75" s="144">
        <f>IFERROR(AD74/AD73,0)</f>
        <v/>
      </c>
      <c r="AE75" s="144">
        <f>IFERROR(AE74/AE73,0)</f>
        <v/>
      </c>
      <c r="AF75" s="144">
        <f>IFERROR(AF74/AF73,0)</f>
        <v/>
      </c>
      <c r="AG75" s="144">
        <f>IFERROR(AG74/AG73,0)</f>
        <v/>
      </c>
      <c r="AH75" s="144">
        <f>IFERROR(AH74/AH73,0)</f>
        <v/>
      </c>
    </row>
    <row r="76" ht="15" customHeight="1" s="118">
      <c r="C76" s="142" t="inlineStr">
        <is>
          <t>CAC (kr.)</t>
        </is>
      </c>
      <c r="D76" s="145">
        <f>IFERROR(D71/D74,0)</f>
        <v/>
      </c>
      <c r="E76" s="145">
        <f>IFERROR(E71/E74,0)</f>
        <v/>
      </c>
      <c r="F76" s="145">
        <f>IFERROR(F71/F74,0)</f>
        <v/>
      </c>
      <c r="G76" s="145">
        <f>IFERROR(G71/G74,0)</f>
        <v/>
      </c>
      <c r="H76" s="145">
        <f>IFERROR(H71/H74,0)</f>
        <v/>
      </c>
      <c r="I76" s="145">
        <f>IFERROR(I71/I74,0)</f>
        <v/>
      </c>
      <c r="J76" s="145">
        <f>IFERROR(J71/J74,0)</f>
        <v/>
      </c>
      <c r="K76" s="145">
        <f>IFERROR(K71/K74,0)</f>
        <v/>
      </c>
      <c r="L76" s="145">
        <f>IFERROR(L71/L74,0)</f>
        <v/>
      </c>
      <c r="M76" s="145">
        <f>IFERROR(M71/M74,0)</f>
        <v/>
      </c>
      <c r="N76" s="145">
        <f>IFERROR(N71/N74,0)</f>
        <v/>
      </c>
      <c r="O76" s="145">
        <f>IFERROR(O71/O74,0)</f>
        <v/>
      </c>
      <c r="P76" s="145">
        <f>IFERROR(P71/P74,0)</f>
        <v/>
      </c>
      <c r="Q76" s="145">
        <f>IFERROR(Q71/Q74,0)</f>
        <v/>
      </c>
      <c r="R76" s="145">
        <f>IFERROR(R71/R74,0)</f>
        <v/>
      </c>
      <c r="S76" s="145">
        <f>IFERROR(S71/S74,0)</f>
        <v/>
      </c>
      <c r="T76" s="145">
        <f>IFERROR(T71/T74,0)</f>
        <v/>
      </c>
      <c r="U76" s="145">
        <f>IFERROR(U71/U74,0)</f>
        <v/>
      </c>
      <c r="V76" s="145">
        <f>IFERROR(V71/V74,0)</f>
        <v/>
      </c>
      <c r="W76" s="145">
        <f>IFERROR(W71/W74,0)</f>
        <v/>
      </c>
      <c r="X76" s="145">
        <f>IFERROR(X71/X74,0)</f>
        <v/>
      </c>
      <c r="Y76" s="145">
        <f>IFERROR(Y71/Y74,0)</f>
        <v/>
      </c>
      <c r="Z76" s="145">
        <f>IFERROR(Z71/Z74,0)</f>
        <v/>
      </c>
      <c r="AA76" s="145">
        <f>IFERROR(AA71/AA74,0)</f>
        <v/>
      </c>
      <c r="AB76" s="145">
        <f>IFERROR(AB71/AB74,0)</f>
        <v/>
      </c>
      <c r="AC76" s="145">
        <f>IFERROR(AC71/AC74,0)</f>
        <v/>
      </c>
      <c r="AD76" s="145">
        <f>IFERROR(AD71/AD74,0)</f>
        <v/>
      </c>
      <c r="AE76" s="145">
        <f>IFERROR(AE71/AE74,0)</f>
        <v/>
      </c>
      <c r="AF76" s="145">
        <f>IFERROR(AF71/AF74,0)</f>
        <v/>
      </c>
      <c r="AG76" s="145">
        <f>IFERROR(AG71/AG74,0)</f>
        <v/>
      </c>
      <c r="AH76" s="145">
        <f>IFERROR(AH71/AH74,0)</f>
        <v/>
      </c>
    </row>
    <row r="78" ht="15" customHeight="1" s="118">
      <c r="B78" s="141" t="inlineStr">
        <is>
          <t>[Placeholder 2]</t>
        </is>
      </c>
      <c r="C78" s="142" t="inlineStr">
        <is>
          <t>Cost (kr.)</t>
        </is>
      </c>
      <c r="D78" s="149" t="n"/>
      <c r="E78" s="149" t="n"/>
      <c r="F78" s="149" t="n"/>
      <c r="G78" s="149" t="n"/>
      <c r="H78" s="149" t="n"/>
      <c r="I78" s="149" t="n"/>
      <c r="J78" s="149" t="n"/>
      <c r="K78" s="149" t="n"/>
      <c r="L78" s="149" t="n"/>
      <c r="M78" s="149" t="n">
        <v>35800</v>
      </c>
      <c r="N78" s="149" t="n"/>
      <c r="O78" s="149" t="n"/>
      <c r="P78" s="149" t="n"/>
      <c r="Q78" s="149" t="n"/>
      <c r="R78" s="149" t="n"/>
      <c r="S78" s="149" t="n"/>
      <c r="T78" s="149" t="n"/>
      <c r="U78" s="149" t="n"/>
      <c r="V78" s="149" t="n"/>
      <c r="W78" s="149" t="n"/>
      <c r="X78" s="149" t="n"/>
      <c r="Y78" s="149" t="n">
        <v>4098.3</v>
      </c>
      <c r="Z78" s="149" t="n">
        <v>3917.7</v>
      </c>
      <c r="AA78" s="149" t="n">
        <v>4180</v>
      </c>
      <c r="AB78" s="149" t="n"/>
      <c r="AC78" s="149" t="n"/>
      <c r="AD78" s="149" t="n"/>
      <c r="AE78" s="149" t="n"/>
      <c r="AF78" s="149" t="n"/>
      <c r="AG78" s="149" t="n"/>
      <c r="AH78" s="149" t="n"/>
    </row>
    <row r="79" ht="15" customHeight="1" s="118">
      <c r="C79" s="142" t="inlineStr">
        <is>
          <t>Impressions</t>
        </is>
      </c>
      <c r="D79" s="149" t="n"/>
      <c r="E79" s="149" t="n"/>
      <c r="F79" s="149" t="n"/>
      <c r="G79" s="149" t="n"/>
      <c r="H79" s="149" t="n"/>
      <c r="I79" s="149" t="n"/>
      <c r="J79" s="149" t="n"/>
      <c r="K79" s="149" t="n"/>
      <c r="L79" s="149" t="n"/>
      <c r="M79" s="149" t="n"/>
      <c r="N79" s="149" t="n"/>
      <c r="O79" s="149" t="n"/>
      <c r="P79" s="149" t="n"/>
      <c r="Q79" s="149" t="n"/>
      <c r="R79" s="149" t="n"/>
      <c r="S79" s="149" t="n"/>
      <c r="T79" s="149" t="n"/>
      <c r="U79" s="149" t="n"/>
      <c r="V79" s="149" t="n"/>
      <c r="W79" s="149" t="n"/>
      <c r="X79" s="149" t="n"/>
      <c r="Y79" s="149" t="n">
        <v>0</v>
      </c>
      <c r="Z79" s="149" t="n">
        <v>0</v>
      </c>
      <c r="AA79" s="149" t="n">
        <v>0</v>
      </c>
      <c r="AB79" s="149" t="n"/>
      <c r="AC79" s="149" t="n"/>
      <c r="AD79" s="149" t="n"/>
      <c r="AE79" s="149" t="n"/>
      <c r="AF79" s="149" t="n"/>
      <c r="AG79" s="149" t="n"/>
      <c r="AH79" s="149" t="n"/>
    </row>
    <row r="80" ht="15" customHeight="1" s="118">
      <c r="C80" s="142" t="inlineStr">
        <is>
          <t>Traffic</t>
        </is>
      </c>
      <c r="D80" s="149" t="n"/>
      <c r="E80" s="149" t="n"/>
      <c r="F80" s="149" t="n"/>
      <c r="G80" s="149" t="n"/>
      <c r="H80" s="149" t="n"/>
      <c r="I80" s="149" t="n"/>
      <c r="J80" s="149" t="n"/>
      <c r="K80" s="149" t="n"/>
      <c r="L80" s="149" t="n"/>
      <c r="M80" s="149" t="n"/>
      <c r="N80" s="149" t="n"/>
      <c r="O80" s="149" t="n"/>
      <c r="P80" s="149" t="n"/>
      <c r="Q80" s="149" t="n"/>
      <c r="R80" s="149" t="n"/>
      <c r="S80" s="149" t="n"/>
      <c r="T80" s="149" t="n"/>
      <c r="U80" s="149" t="n"/>
      <c r="V80" s="149" t="n"/>
      <c r="W80" s="149" t="n"/>
      <c r="X80" s="149" t="n"/>
      <c r="Y80" s="149" t="n">
        <v>0</v>
      </c>
      <c r="Z80" s="149" t="n">
        <v>0</v>
      </c>
      <c r="AA80" s="149" t="n">
        <v>0</v>
      </c>
      <c r="AB80" s="149" t="n"/>
      <c r="AC80" s="149" t="n"/>
      <c r="AD80" s="149" t="n"/>
      <c r="AE80" s="149" t="n"/>
      <c r="AF80" s="149" t="n"/>
      <c r="AG80" s="149" t="n"/>
      <c r="AH80" s="149" t="n"/>
    </row>
    <row r="81" ht="15" customHeight="1" s="118">
      <c r="C81" s="142" t="inlineStr">
        <is>
          <t>Clients</t>
        </is>
      </c>
      <c r="D81" s="149" t="n"/>
      <c r="E81" s="149" t="n"/>
      <c r="F81" s="149" t="n"/>
      <c r="G81" s="149" t="n"/>
      <c r="H81" s="149" t="n"/>
      <c r="I81" s="149" t="n"/>
      <c r="J81" s="149" t="n"/>
      <c r="K81" s="149" t="n"/>
      <c r="L81" s="149" t="n"/>
      <c r="M81" s="149" t="n">
        <v>80</v>
      </c>
      <c r="N81" s="149" t="n"/>
      <c r="O81" s="149" t="n"/>
      <c r="P81" s="149" t="n"/>
      <c r="Q81" s="149" t="n"/>
      <c r="R81" s="149" t="n"/>
      <c r="S81" s="149" t="n"/>
      <c r="T81" s="149" t="n"/>
      <c r="U81" s="149" t="n"/>
      <c r="V81" s="149" t="n"/>
      <c r="W81" s="149" t="n"/>
      <c r="X81" s="149" t="n"/>
      <c r="Y81" s="149" t="n">
        <v>26</v>
      </c>
      <c r="Z81" s="149" t="n">
        <v>20</v>
      </c>
      <c r="AA81" s="149" t="n">
        <v>16</v>
      </c>
      <c r="AB81" s="149" t="n"/>
      <c r="AC81" s="149" t="n"/>
      <c r="AD81" s="149" t="n"/>
      <c r="AE81" s="149" t="n"/>
      <c r="AF81" s="149" t="n"/>
      <c r="AG81" s="149" t="n"/>
      <c r="AH81" s="149" t="n"/>
    </row>
    <row r="82" ht="15" customHeight="1" s="118">
      <c r="C82" s="142" t="inlineStr">
        <is>
          <t>CVR</t>
        </is>
      </c>
      <c r="D82" s="144">
        <f>IFERROR(D81/D80,0)</f>
        <v/>
      </c>
      <c r="E82" s="144">
        <f>IFERROR(E81/E80,0)</f>
        <v/>
      </c>
      <c r="F82" s="144">
        <f>IFERROR(F81/F80,0)</f>
        <v/>
      </c>
      <c r="G82" s="144">
        <f>IFERROR(G81/G80,0)</f>
        <v/>
      </c>
      <c r="H82" s="144">
        <f>IFERROR(H81/H80,0)</f>
        <v/>
      </c>
      <c r="I82" s="144">
        <f>IFERROR(I81/I80,0)</f>
        <v/>
      </c>
      <c r="J82" s="144">
        <f>IFERROR(J81/J80,0)</f>
        <v/>
      </c>
      <c r="K82" s="144">
        <f>IFERROR(K81/K80,0)</f>
        <v/>
      </c>
      <c r="L82" s="144">
        <f>IFERROR(L81/L80,0)</f>
        <v/>
      </c>
      <c r="M82" s="144">
        <f>IFERROR(M81/M80,0)</f>
        <v/>
      </c>
      <c r="N82" s="144">
        <f>IFERROR(N81/N80,0)</f>
        <v/>
      </c>
      <c r="O82" s="144">
        <f>IFERROR(O81/O80,0)</f>
        <v/>
      </c>
      <c r="P82" s="144">
        <f>IFERROR(P81/P80,0)</f>
        <v/>
      </c>
      <c r="Q82" s="144">
        <f>IFERROR(Q81/Q80,0)</f>
        <v/>
      </c>
      <c r="R82" s="144">
        <f>IFERROR(R81/R80,0)</f>
        <v/>
      </c>
      <c r="S82" s="144">
        <f>IFERROR(S81/S80,0)</f>
        <v/>
      </c>
      <c r="T82" s="144">
        <f>IFERROR(T81/T80,0)</f>
        <v/>
      </c>
      <c r="U82" s="144">
        <f>IFERROR(U81/U80,0)</f>
        <v/>
      </c>
      <c r="V82" s="144">
        <f>IFERROR(V81/V80,0)</f>
        <v/>
      </c>
      <c r="W82" s="144">
        <f>IFERROR(W81/W80,0)</f>
        <v/>
      </c>
      <c r="X82" s="144">
        <f>IFERROR(X81/X80,0)</f>
        <v/>
      </c>
      <c r="Y82" s="144">
        <f>IFERROR(Y81/Y80,0)</f>
        <v/>
      </c>
      <c r="Z82" s="144">
        <f>IFERROR(Z81/Z80,0)</f>
        <v/>
      </c>
      <c r="AA82" s="144">
        <f>IFERROR(AA81/AA80,0)</f>
        <v/>
      </c>
      <c r="AB82" s="144">
        <f>IFERROR(AB81/AB80,0)</f>
        <v/>
      </c>
      <c r="AC82" s="144">
        <f>IFERROR(AC81/AC80,0)</f>
        <v/>
      </c>
      <c r="AD82" s="144">
        <f>IFERROR(AD81/AD80,0)</f>
        <v/>
      </c>
      <c r="AE82" s="144">
        <f>IFERROR(AE81/AE80,0)</f>
        <v/>
      </c>
      <c r="AF82" s="144">
        <f>IFERROR(AF81/AF80,0)</f>
        <v/>
      </c>
      <c r="AG82" s="144">
        <f>IFERROR(AG81/AG80,0)</f>
        <v/>
      </c>
      <c r="AH82" s="144">
        <f>IFERROR(AH81/AH80,0)</f>
        <v/>
      </c>
    </row>
    <row r="83" ht="15" customHeight="1" s="118">
      <c r="C83" s="142" t="inlineStr">
        <is>
          <t>CAC (kr.)</t>
        </is>
      </c>
      <c r="D83" s="145">
        <f>IFERROR(D78/D81,0)</f>
        <v/>
      </c>
      <c r="E83" s="145">
        <f>IFERROR(E78/E81,0)</f>
        <v/>
      </c>
      <c r="F83" s="145">
        <f>IFERROR(F78/F81,0)</f>
        <v/>
      </c>
      <c r="G83" s="145">
        <f>IFERROR(G78/G81,0)</f>
        <v/>
      </c>
      <c r="H83" s="145">
        <f>IFERROR(H78/H81,0)</f>
        <v/>
      </c>
      <c r="I83" s="145">
        <f>IFERROR(I78/I81,0)</f>
        <v/>
      </c>
      <c r="J83" s="145">
        <f>IFERROR(J78/J81,0)</f>
        <v/>
      </c>
      <c r="K83" s="145">
        <f>IFERROR(K78/K81,0)</f>
        <v/>
      </c>
      <c r="L83" s="145">
        <f>IFERROR(L78/L81,0)</f>
        <v/>
      </c>
      <c r="M83" s="145">
        <f>IFERROR(M78/M81,0)</f>
        <v/>
      </c>
      <c r="N83" s="145">
        <f>IFERROR(N78/N81,0)</f>
        <v/>
      </c>
      <c r="O83" s="145">
        <f>IFERROR(O78/O81,0)</f>
        <v/>
      </c>
      <c r="P83" s="145">
        <f>IFERROR(P78/P81,0)</f>
        <v/>
      </c>
      <c r="Q83" s="145">
        <f>IFERROR(Q78/Q81,0)</f>
        <v/>
      </c>
      <c r="R83" s="145">
        <f>IFERROR(R78/R81,0)</f>
        <v/>
      </c>
      <c r="S83" s="145">
        <f>IFERROR(S78/S81,0)</f>
        <v/>
      </c>
      <c r="T83" s="145">
        <f>IFERROR(T78/T81,0)</f>
        <v/>
      </c>
      <c r="U83" s="145">
        <f>IFERROR(U78/U81,0)</f>
        <v/>
      </c>
      <c r="V83" s="145">
        <f>IFERROR(V78/V81,0)</f>
        <v/>
      </c>
      <c r="W83" s="145">
        <f>IFERROR(W78/W81,0)</f>
        <v/>
      </c>
      <c r="X83" s="145">
        <f>IFERROR(X78/X81,0)</f>
        <v/>
      </c>
      <c r="Y83" s="145">
        <f>IFERROR(Y78/Y81,0)</f>
        <v/>
      </c>
      <c r="Z83" s="145">
        <f>IFERROR(Z78/Z81,0)</f>
        <v/>
      </c>
      <c r="AA83" s="145">
        <f>IFERROR(AA78/AA81,0)</f>
        <v/>
      </c>
      <c r="AB83" s="145">
        <f>IFERROR(AB78/AB81,0)</f>
        <v/>
      </c>
      <c r="AC83" s="145">
        <f>IFERROR(AC78/AC81,0)</f>
        <v/>
      </c>
      <c r="AD83" s="145">
        <f>IFERROR(AD78/AD81,0)</f>
        <v/>
      </c>
      <c r="AE83" s="145">
        <f>IFERROR(AE78/AE81,0)</f>
        <v/>
      </c>
      <c r="AF83" s="145">
        <f>IFERROR(AF78/AF81,0)</f>
        <v/>
      </c>
      <c r="AG83" s="145">
        <f>IFERROR(AG78/AG81,0)</f>
        <v/>
      </c>
      <c r="AH83" s="145">
        <f>IFERROR(AH78/AH81,0)</f>
        <v/>
      </c>
    </row>
    <row r="85" ht="18" customHeight="1" s="118">
      <c r="B85" s="140" t="inlineStr">
        <is>
          <t>▪ OTHER</t>
        </is>
      </c>
    </row>
    <row r="86" ht="15" customHeight="1" s="118">
      <c r="B86" s="141" t="inlineStr">
        <is>
          <t>Organic</t>
        </is>
      </c>
      <c r="C86" s="142" t="inlineStr">
        <is>
          <t>Cost (kr.)</t>
        </is>
      </c>
      <c r="D86" s="149" t="n"/>
      <c r="E86" s="149" t="n"/>
      <c r="F86" s="149" t="n"/>
      <c r="G86" s="149" t="n"/>
      <c r="H86" s="149" t="n"/>
      <c r="I86" s="149" t="n">
        <v>6500</v>
      </c>
      <c r="J86" s="149" t="n"/>
      <c r="K86" s="149" t="n"/>
      <c r="L86" s="149" t="n"/>
      <c r="M86" s="149" t="n"/>
      <c r="N86" s="149" t="n"/>
      <c r="O86" s="149" t="n"/>
      <c r="P86" s="149" t="n"/>
      <c r="Q86" s="149" t="n"/>
      <c r="R86" s="149" t="n"/>
      <c r="S86" s="149" t="n"/>
      <c r="T86" s="149" t="n"/>
      <c r="U86" s="149" t="n"/>
      <c r="V86" s="149" t="n"/>
      <c r="W86" s="149" t="n"/>
      <c r="X86" s="149" t="n">
        <v>0</v>
      </c>
      <c r="Y86" s="149" t="n">
        <v>0</v>
      </c>
      <c r="Z86" s="149" t="n">
        <v>0</v>
      </c>
      <c r="AA86" s="149" t="n">
        <v>0</v>
      </c>
      <c r="AB86" s="149" t="n"/>
      <c r="AC86" s="149" t="n"/>
      <c r="AD86" s="149" t="n"/>
      <c r="AE86" s="149" t="n"/>
      <c r="AF86" s="149" t="n"/>
      <c r="AG86" s="149" t="n"/>
      <c r="AH86" s="149" t="n"/>
    </row>
    <row r="87" ht="15" customHeight="1" s="118">
      <c r="C87" s="142" t="inlineStr">
        <is>
          <t>Impressions</t>
        </is>
      </c>
      <c r="D87" s="149" t="n"/>
      <c r="E87" s="149" t="n"/>
      <c r="F87" s="149" t="n"/>
      <c r="G87" s="149" t="n"/>
      <c r="H87" s="149" t="n"/>
      <c r="I87" s="149" t="n"/>
      <c r="J87" s="149" t="n"/>
      <c r="K87" s="149" t="n"/>
      <c r="L87" s="149" t="n"/>
      <c r="M87" s="149" t="n"/>
      <c r="N87" s="149" t="n"/>
      <c r="O87" s="149" t="n"/>
      <c r="P87" s="149" t="n"/>
      <c r="Q87" s="149" t="n"/>
      <c r="R87" s="149" t="n"/>
      <c r="S87" s="149" t="n"/>
      <c r="T87" s="149" t="n"/>
      <c r="U87" s="149" t="n"/>
      <c r="V87" s="149" t="n"/>
      <c r="W87" s="149" t="n"/>
      <c r="X87" s="149" t="n">
        <v>686000</v>
      </c>
      <c r="Y87" s="149" t="n">
        <v>0</v>
      </c>
      <c r="Z87" s="149" t="n">
        <v>389000</v>
      </c>
      <c r="AA87" s="149" t="n">
        <v>413000</v>
      </c>
      <c r="AB87" s="149" t="n"/>
      <c r="AC87" s="149" t="n"/>
      <c r="AD87" s="149" t="n"/>
      <c r="AE87" s="149" t="n"/>
      <c r="AF87" s="149" t="n"/>
      <c r="AG87" s="149" t="n"/>
      <c r="AH87" s="149" t="n"/>
    </row>
    <row r="88" ht="15" customHeight="1" s="118">
      <c r="C88" s="142" t="inlineStr">
        <is>
          <t>Traffic</t>
        </is>
      </c>
      <c r="D88" s="149" t="n">
        <v>147</v>
      </c>
      <c r="E88" s="149" t="n">
        <v>2966</v>
      </c>
      <c r="F88" s="149" t="n"/>
      <c r="G88" s="149" t="n"/>
      <c r="H88" s="149" t="n"/>
      <c r="I88" s="149" t="n"/>
      <c r="J88" s="149" t="n"/>
      <c r="K88" s="149" t="n"/>
      <c r="L88" s="149" t="n"/>
      <c r="M88" s="149" t="n">
        <v>1520</v>
      </c>
      <c r="N88" s="149" t="n">
        <v>2441</v>
      </c>
      <c r="O88" s="149" t="n">
        <v>94000</v>
      </c>
      <c r="P88" s="149" t="n">
        <v>38983</v>
      </c>
      <c r="Q88" s="149" t="n">
        <v>31000</v>
      </c>
      <c r="R88" s="149" t="n">
        <v>70000</v>
      </c>
      <c r="S88" s="149" t="n">
        <v>75320</v>
      </c>
      <c r="T88" s="149" t="n">
        <v>16200</v>
      </c>
      <c r="U88" s="149" t="n">
        <v>8560</v>
      </c>
      <c r="V88" s="149" t="n">
        <v>9290</v>
      </c>
      <c r="W88" s="149" t="n">
        <v>18000</v>
      </c>
      <c r="X88" s="149" t="n">
        <v>7180</v>
      </c>
      <c r="Y88" s="149" t="n">
        <v>4800</v>
      </c>
      <c r="Z88" s="149" t="n">
        <v>3640</v>
      </c>
      <c r="AA88" s="149" t="n">
        <v>3700</v>
      </c>
      <c r="AB88" s="149" t="n"/>
      <c r="AC88" s="149" t="n"/>
      <c r="AD88" s="149" t="n"/>
      <c r="AE88" s="149" t="n"/>
      <c r="AF88" s="149" t="n"/>
      <c r="AG88" s="149" t="n"/>
      <c r="AH88" s="149" t="n"/>
    </row>
    <row r="89" ht="15" customHeight="1" s="118">
      <c r="C89" s="142" t="inlineStr">
        <is>
          <t>Clients</t>
        </is>
      </c>
      <c r="D89" s="149" t="n">
        <v>53</v>
      </c>
      <c r="E89" s="149" t="n">
        <v>841</v>
      </c>
      <c r="F89" s="149" t="n"/>
      <c r="G89" s="149" t="n"/>
      <c r="H89" s="149" t="n"/>
      <c r="I89" s="149" t="n"/>
      <c r="J89" s="149" t="n"/>
      <c r="K89" s="149" t="n"/>
      <c r="L89" s="149" t="n"/>
      <c r="M89" s="149" t="n"/>
      <c r="N89" s="149" t="n">
        <v>353</v>
      </c>
      <c r="O89" s="149" t="n">
        <v>375</v>
      </c>
      <c r="P89" s="149" t="n">
        <v>346</v>
      </c>
      <c r="Q89" s="149" t="n"/>
      <c r="R89" s="149" t="n"/>
      <c r="S89" s="149" t="n"/>
      <c r="T89" s="149" t="n"/>
      <c r="U89" s="149" t="n"/>
      <c r="V89" s="149" t="n"/>
      <c r="W89" s="149" t="n"/>
      <c r="X89" s="149" t="n">
        <v>0</v>
      </c>
      <c r="Y89" s="149" t="n">
        <v>0</v>
      </c>
      <c r="Z89" s="149" t="n">
        <v>0</v>
      </c>
      <c r="AA89" s="149" t="n">
        <v>0</v>
      </c>
      <c r="AB89" s="149" t="n"/>
      <c r="AC89" s="149" t="n"/>
      <c r="AD89" s="149" t="n"/>
      <c r="AE89" s="149" t="n"/>
      <c r="AF89" s="149" t="n"/>
      <c r="AG89" s="149" t="n"/>
      <c r="AH89" s="149" t="n"/>
    </row>
    <row r="90" ht="15" customHeight="1" s="118">
      <c r="C90" s="142" t="inlineStr">
        <is>
          <t>CVR</t>
        </is>
      </c>
      <c r="D90" s="144">
        <f>IFERROR(D89/D88,0)</f>
        <v/>
      </c>
      <c r="E90" s="144">
        <f>IFERROR(E89/E88,0)</f>
        <v/>
      </c>
      <c r="F90" s="144">
        <f>IFERROR(F89/F88,0)</f>
        <v/>
      </c>
      <c r="G90" s="144">
        <f>IFERROR(G89/G88,0)</f>
        <v/>
      </c>
      <c r="H90" s="144">
        <f>IFERROR(H89/H88,0)</f>
        <v/>
      </c>
      <c r="I90" s="144">
        <f>IFERROR(I89/I88,0)</f>
        <v/>
      </c>
      <c r="J90" s="144">
        <f>IFERROR(J89/J88,0)</f>
        <v/>
      </c>
      <c r="K90" s="144">
        <f>IFERROR(K89/K88,0)</f>
        <v/>
      </c>
      <c r="L90" s="144">
        <f>IFERROR(L89/L88,0)</f>
        <v/>
      </c>
      <c r="M90" s="144">
        <f>IFERROR(M89/M88,0)</f>
        <v/>
      </c>
      <c r="N90" s="144">
        <f>IFERROR(N89/N88,0)</f>
        <v/>
      </c>
      <c r="O90" s="144">
        <f>IFERROR(O89/O88,0)</f>
        <v/>
      </c>
      <c r="P90" s="144">
        <f>IFERROR(P89/P88,0)</f>
        <v/>
      </c>
      <c r="Q90" s="144">
        <f>IFERROR(Q89/Q88,0)</f>
        <v/>
      </c>
      <c r="R90" s="144">
        <f>IFERROR(R89/R88,0)</f>
        <v/>
      </c>
      <c r="S90" s="144">
        <f>IFERROR(S89/S88,0)</f>
        <v/>
      </c>
      <c r="T90" s="144">
        <f>IFERROR(T89/T88,0)</f>
        <v/>
      </c>
      <c r="U90" s="144">
        <f>IFERROR(U89/U88,0)</f>
        <v/>
      </c>
      <c r="V90" s="144">
        <f>IFERROR(V89/V88,0)</f>
        <v/>
      </c>
      <c r="W90" s="144">
        <f>IFERROR(W89/W88,0)</f>
        <v/>
      </c>
      <c r="X90" s="144">
        <f>IFERROR(X89/X88,0)</f>
        <v/>
      </c>
      <c r="Y90" s="144">
        <f>IFERROR(Y89/Y88,0)</f>
        <v/>
      </c>
      <c r="Z90" s="144">
        <f>IFERROR(Z89/Z88,0)</f>
        <v/>
      </c>
      <c r="AA90" s="144">
        <f>IFERROR(AA89/AA88,0)</f>
        <v/>
      </c>
      <c r="AB90" s="144">
        <f>IFERROR(AB89/AB88,0)</f>
        <v/>
      </c>
      <c r="AC90" s="144">
        <f>IFERROR(AC89/AC88,0)</f>
        <v/>
      </c>
      <c r="AD90" s="144">
        <f>IFERROR(AD89/AD88,0)</f>
        <v/>
      </c>
      <c r="AE90" s="144">
        <f>IFERROR(AE89/AE88,0)</f>
        <v/>
      </c>
      <c r="AF90" s="144">
        <f>IFERROR(AF89/AF88,0)</f>
        <v/>
      </c>
      <c r="AG90" s="144">
        <f>IFERROR(AG89/AG88,0)</f>
        <v/>
      </c>
      <c r="AH90" s="144">
        <f>IFERROR(AH89/AH88,0)</f>
        <v/>
      </c>
    </row>
    <row r="91" ht="15" customHeight="1" s="118">
      <c r="C91" s="142" t="inlineStr">
        <is>
          <t>CAC (kr.)</t>
        </is>
      </c>
      <c r="D91" s="145">
        <f>IFERROR(D86/D89,0)</f>
        <v/>
      </c>
      <c r="E91" s="145">
        <f>IFERROR(E86/E89,0)</f>
        <v/>
      </c>
      <c r="F91" s="145">
        <f>IFERROR(F86/F89,0)</f>
        <v/>
      </c>
      <c r="G91" s="145">
        <f>IFERROR(G86/G89,0)</f>
        <v/>
      </c>
      <c r="H91" s="145">
        <f>IFERROR(H86/H89,0)</f>
        <v/>
      </c>
      <c r="I91" s="145">
        <f>IFERROR(I86/I89,0)</f>
        <v/>
      </c>
      <c r="J91" s="145">
        <f>IFERROR(J86/J89,0)</f>
        <v/>
      </c>
      <c r="K91" s="145">
        <f>IFERROR(K86/K89,0)</f>
        <v/>
      </c>
      <c r="L91" s="145">
        <f>IFERROR(L86/L89,0)</f>
        <v/>
      </c>
      <c r="M91" s="145">
        <f>IFERROR(M86/M89,0)</f>
        <v/>
      </c>
      <c r="N91" s="145">
        <f>IFERROR(N86/N89,0)</f>
        <v/>
      </c>
      <c r="O91" s="145">
        <f>IFERROR(O86/O89,0)</f>
        <v/>
      </c>
      <c r="P91" s="145">
        <f>IFERROR(P86/P89,0)</f>
        <v/>
      </c>
      <c r="Q91" s="145">
        <f>IFERROR(Q86/Q89,0)</f>
        <v/>
      </c>
      <c r="R91" s="145">
        <f>IFERROR(R86/R89,0)</f>
        <v/>
      </c>
      <c r="S91" s="145">
        <f>IFERROR(S86/S89,0)</f>
        <v/>
      </c>
      <c r="T91" s="145">
        <f>IFERROR(T86/T89,0)</f>
        <v/>
      </c>
      <c r="U91" s="145">
        <f>IFERROR(U86/U89,0)</f>
        <v/>
      </c>
      <c r="V91" s="145">
        <f>IFERROR(V86/V89,0)</f>
        <v/>
      </c>
      <c r="W91" s="145">
        <f>IFERROR(W86/W89,0)</f>
        <v/>
      </c>
      <c r="X91" s="145">
        <f>IFERROR(X86/X89,0)</f>
        <v/>
      </c>
      <c r="Y91" s="145">
        <f>IFERROR(Y86/Y89,0)</f>
        <v/>
      </c>
      <c r="Z91" s="145">
        <f>IFERROR(Z86/Z89,0)</f>
        <v/>
      </c>
      <c r="AA91" s="145">
        <f>IFERROR(AA86/AA89,0)</f>
        <v/>
      </c>
      <c r="AB91" s="145">
        <f>IFERROR(AB86/AB89,0)</f>
        <v/>
      </c>
      <c r="AC91" s="145">
        <f>IFERROR(AC86/AC89,0)</f>
        <v/>
      </c>
      <c r="AD91" s="145">
        <f>IFERROR(AD86/AD89,0)</f>
        <v/>
      </c>
      <c r="AE91" s="145">
        <f>IFERROR(AE86/AE89,0)</f>
        <v/>
      </c>
      <c r="AF91" s="145">
        <f>IFERROR(AF86/AF89,0)</f>
        <v/>
      </c>
      <c r="AG91" s="145">
        <f>IFERROR(AG86/AG89,0)</f>
        <v/>
      </c>
      <c r="AH91" s="145">
        <f>IFERROR(AH86/AH89,0)</f>
        <v/>
      </c>
    </row>
    <row r="93" ht="18" customHeight="1" s="118">
      <c r="B93" s="140" t="inlineStr">
        <is>
          <t>▪ PARTNERSKAB (Meliora Ventures)</t>
        </is>
      </c>
    </row>
    <row r="94" ht="15" customHeight="1" s="118">
      <c r="B94" s="141" t="inlineStr">
        <is>
          <t>Meliora partnerskab</t>
        </is>
      </c>
      <c r="C94" s="142" t="inlineStr">
        <is>
          <t>Timer — sales-gen</t>
        </is>
      </c>
      <c r="D94" s="146" t="n"/>
      <c r="E94" s="146" t="n">
        <v>0.1941203703703704</v>
      </c>
      <c r="F94" s="146" t="n">
        <v>0.5941203703703704</v>
      </c>
      <c r="G94" s="146" t="n">
        <v>0.6020717592592593</v>
      </c>
      <c r="H94" s="146" t="n">
        <v>0.4163888888888889</v>
      </c>
      <c r="I94" s="146" t="n">
        <v>0.3203587962962963</v>
      </c>
      <c r="J94" s="146" t="n">
        <v>0.2970486111111111</v>
      </c>
      <c r="K94" s="146" t="n">
        <v>0.3667245370370371</v>
      </c>
      <c r="L94" s="146" t="n">
        <v>0.4940393518518518</v>
      </c>
      <c r="M94" s="146" t="n">
        <v>0.9416666666666667</v>
      </c>
      <c r="N94" s="146" t="n">
        <v>0.4590277777777778</v>
      </c>
      <c r="O94" s="146" t="n">
        <v>0.2395833333333333</v>
      </c>
      <c r="P94" s="146" t="n">
        <v>0.4826388888888889</v>
      </c>
      <c r="Q94" s="146" t="n">
        <v>0.7777777777777778</v>
      </c>
      <c r="R94" s="146" t="n">
        <v>0.7666666666666667</v>
      </c>
      <c r="S94" s="146" t="n">
        <v>0.2722222222222222</v>
      </c>
      <c r="T94" s="146" t="n">
        <v>0.7180555555555556</v>
      </c>
      <c r="U94" s="146" t="n">
        <v>0.425</v>
      </c>
      <c r="V94" s="146" t="n">
        <v>0.5173611111111112</v>
      </c>
      <c r="W94" s="146" t="n"/>
      <c r="X94" s="146" t="n"/>
      <c r="Y94" s="146" t="n"/>
      <c r="Z94" s="146" t="n"/>
      <c r="AA94" s="146" t="n"/>
      <c r="AB94" s="146" t="n"/>
      <c r="AC94" s="146" t="n"/>
      <c r="AD94" s="146" t="n"/>
      <c r="AE94" s="146" t="n"/>
      <c r="AF94" s="146" t="n"/>
      <c r="AG94" s="146" t="n"/>
      <c r="AH94" s="146" t="n"/>
    </row>
    <row r="95" ht="15" customHeight="1" s="118">
      <c r="C95" s="142" t="inlineStr">
        <is>
          <t>Timer — brand-building</t>
        </is>
      </c>
      <c r="D95" s="146" t="n"/>
      <c r="E95" s="146" t="n"/>
      <c r="F95" s="146" t="n"/>
      <c r="G95" s="146" t="n"/>
      <c r="H95" s="146" t="n">
        <v>0.1484375</v>
      </c>
      <c r="I95" s="146" t="n">
        <v>0.6342476851851852</v>
      </c>
      <c r="J95" s="146" t="n">
        <v>0.3295138888888889</v>
      </c>
      <c r="K95" s="146" t="n">
        <v>0.4253472222222222</v>
      </c>
      <c r="L95" s="146" t="n">
        <v>0.4141319444444445</v>
      </c>
      <c r="M95" s="146" t="n">
        <v>0.8791666666666667</v>
      </c>
      <c r="N95" s="146" t="n">
        <v>1.368055555555556</v>
      </c>
      <c r="O95" s="146" t="n">
        <v>0.6895833333333333</v>
      </c>
      <c r="P95" s="146" t="n">
        <v>0.36875</v>
      </c>
      <c r="Q95" s="146" t="n">
        <v>1.921527777777778</v>
      </c>
      <c r="R95" s="146" t="n">
        <v>0.2277777777777778</v>
      </c>
      <c r="S95" s="146" t="n"/>
      <c r="T95" s="146" t="n">
        <v>0.08888888888888889</v>
      </c>
      <c r="U95" s="146" t="n">
        <v>0.1180555555555556</v>
      </c>
      <c r="V95" s="146" t="n">
        <v>0.08888888888888889</v>
      </c>
      <c r="W95" s="146" t="n"/>
      <c r="X95" s="146" t="n"/>
      <c r="Y95" s="146" t="n"/>
      <c r="Z95" s="146" t="n"/>
      <c r="AA95" s="146" t="n"/>
      <c r="AB95" s="146" t="n"/>
      <c r="AC95" s="146" t="n"/>
      <c r="AD95" s="146" t="n"/>
      <c r="AE95" s="146" t="n"/>
      <c r="AF95" s="146" t="n"/>
      <c r="AG95" s="146" t="n"/>
      <c r="AH95" s="146" t="n"/>
    </row>
    <row r="96" ht="15" customHeight="1" s="118">
      <c r="C96" s="142" t="inlineStr">
        <is>
          <t>Timer — total</t>
        </is>
      </c>
      <c r="D96" s="147">
        <f>D94+D95</f>
        <v/>
      </c>
      <c r="E96" s="147">
        <f>E94+E95</f>
        <v/>
      </c>
      <c r="F96" s="147">
        <f>F94+F95</f>
        <v/>
      </c>
      <c r="G96" s="147">
        <f>G94+G95</f>
        <v/>
      </c>
      <c r="H96" s="147">
        <f>H94+H95</f>
        <v/>
      </c>
      <c r="I96" s="147">
        <f>I94+I95</f>
        <v/>
      </c>
      <c r="J96" s="147">
        <f>J94+J95</f>
        <v/>
      </c>
      <c r="K96" s="147">
        <f>K94+K95</f>
        <v/>
      </c>
      <c r="L96" s="147">
        <f>L94+L95</f>
        <v/>
      </c>
      <c r="M96" s="147">
        <f>M94+M95</f>
        <v/>
      </c>
      <c r="N96" s="147">
        <f>N94+N95</f>
        <v/>
      </c>
      <c r="O96" s="147">
        <f>O94+O95</f>
        <v/>
      </c>
      <c r="P96" s="147">
        <f>P94+P95</f>
        <v/>
      </c>
      <c r="Q96" s="147">
        <f>Q94+Q95</f>
        <v/>
      </c>
      <c r="R96" s="147">
        <f>R94+R95</f>
        <v/>
      </c>
      <c r="S96" s="147">
        <f>S94+S95</f>
        <v/>
      </c>
      <c r="T96" s="147">
        <f>T94+T95</f>
        <v/>
      </c>
      <c r="U96" s="147">
        <f>U94+U95</f>
        <v/>
      </c>
      <c r="V96" s="147">
        <f>V94+V95</f>
        <v/>
      </c>
      <c r="W96" s="147">
        <f>W94+W95</f>
        <v/>
      </c>
      <c r="X96" s="147">
        <f>X94+X95</f>
        <v/>
      </c>
      <c r="Y96" s="147">
        <f>Y94+Y95</f>
        <v/>
      </c>
      <c r="Z96" s="147">
        <f>Z94+Z95</f>
        <v/>
      </c>
      <c r="AA96" s="147">
        <f>AA94+AA95</f>
        <v/>
      </c>
      <c r="AB96" s="147">
        <f>AB94+AB95</f>
        <v/>
      </c>
      <c r="AC96" s="147">
        <f>AC94+AC95</f>
        <v/>
      </c>
      <c r="AD96" s="147">
        <f>AD94+AD95</f>
        <v/>
      </c>
      <c r="AE96" s="147">
        <f>AE94+AE95</f>
        <v/>
      </c>
      <c r="AF96" s="147">
        <f>AF94+AF95</f>
        <v/>
      </c>
      <c r="AG96" s="147">
        <f>AG94+AG95</f>
        <v/>
      </c>
      <c r="AH96" s="147">
        <f>AH94+AH95</f>
        <v/>
      </c>
    </row>
    <row r="97" ht="15" customHeight="1" s="118">
      <c r="C97" s="142" t="inlineStr">
        <is>
          <t>Marketing spent (kr.)</t>
        </is>
      </c>
      <c r="D97" s="148" t="n">
        <v>12852</v>
      </c>
      <c r="E97" s="148" t="n">
        <v>12886</v>
      </c>
      <c r="F97" s="148" t="n">
        <v>20525</v>
      </c>
      <c r="G97" s="148" t="n">
        <v>27595</v>
      </c>
      <c r="H97" s="148" t="n">
        <v>211045</v>
      </c>
      <c r="I97" s="148" t="n">
        <v>43828</v>
      </c>
      <c r="J97" s="148" t="n">
        <v>48261</v>
      </c>
      <c r="K97" s="148" t="n">
        <v>31771</v>
      </c>
      <c r="L97" s="148" t="n">
        <v>42896</v>
      </c>
      <c r="M97" s="148" t="n">
        <v>27176</v>
      </c>
      <c r="N97" s="148" t="n">
        <v>25063</v>
      </c>
      <c r="O97" s="148" t="n">
        <v>23282</v>
      </c>
      <c r="P97" s="148" t="n">
        <v>17800</v>
      </c>
      <c r="Q97" s="148" t="n">
        <v>41600</v>
      </c>
      <c r="R97" s="148" t="n">
        <v>128946</v>
      </c>
      <c r="S97" s="148" t="n">
        <v>45444</v>
      </c>
      <c r="T97" s="148" t="n">
        <v>142492</v>
      </c>
      <c r="U97" s="148" t="n">
        <v>165783</v>
      </c>
      <c r="V97" s="148" t="n">
        <v>154239</v>
      </c>
      <c r="W97" s="148" t="n"/>
      <c r="X97" s="148" t="n"/>
      <c r="Y97" s="148" t="n"/>
      <c r="Z97" s="148" t="n"/>
      <c r="AA97" s="148" t="n"/>
      <c r="AB97" s="148" t="n"/>
      <c r="AC97" s="148" t="n"/>
      <c r="AD97" s="148" t="n"/>
      <c r="AE97" s="148" t="n"/>
      <c r="AF97" s="148" t="n"/>
      <c r="AG97" s="148" t="n"/>
      <c r="AH97" s="148" t="n"/>
    </row>
    <row r="98" ht="15" customHeight="1" s="118">
      <c r="C98" s="142" t="inlineStr">
        <is>
          <t>CMO 80% cost (kr.)</t>
        </is>
      </c>
      <c r="D98" s="148" t="n">
        <v>24000</v>
      </c>
      <c r="E98" s="148" t="n">
        <v>24155.2962962963</v>
      </c>
      <c r="F98" s="148" t="n">
        <v>24475.2962962963</v>
      </c>
      <c r="G98" s="148" t="n">
        <v>24481.6574074074</v>
      </c>
      <c r="H98" s="148" t="n">
        <v>24451.8611111111</v>
      </c>
      <c r="I98" s="148" t="n">
        <v>24763.6851851852</v>
      </c>
      <c r="J98" s="148" t="n">
        <v>24501.25</v>
      </c>
      <c r="K98" s="148" t="n">
        <v>24633.6574074074</v>
      </c>
      <c r="L98" s="148" t="n">
        <v>24726.537037037</v>
      </c>
      <c r="M98" s="148" t="n">
        <v>24837.7777777778</v>
      </c>
      <c r="N98" s="148" t="n">
        <v>25461.6666666667</v>
      </c>
      <c r="O98" s="148" t="n">
        <v>24743.3333333333</v>
      </c>
      <c r="P98" s="148" t="n">
        <v>24681.1111111111</v>
      </c>
      <c r="Q98" s="148" t="n">
        <v>26159.4444444445</v>
      </c>
      <c r="R98" s="148" t="n">
        <v>24795.5555555556</v>
      </c>
      <c r="S98" s="148" t="n">
        <v>24217.7777777778</v>
      </c>
      <c r="T98" s="148" t="n">
        <v>24645.5555555556</v>
      </c>
      <c r="U98" s="148" t="n">
        <v>24434.4444444445</v>
      </c>
      <c r="V98" s="148" t="n">
        <v>24485</v>
      </c>
      <c r="W98" s="148" t="n"/>
      <c r="X98" s="148" t="n"/>
      <c r="Y98" s="148" t="n"/>
      <c r="Z98" s="148" t="n"/>
      <c r="AA98" s="148" t="n"/>
      <c r="AB98" s="148" t="n"/>
      <c r="AC98" s="148" t="n"/>
      <c r="AD98" s="148" t="n"/>
      <c r="AE98" s="148" t="n"/>
      <c r="AF98" s="148" t="n"/>
      <c r="AG98" s="148" t="n"/>
      <c r="AH98" s="148" t="n"/>
    </row>
    <row r="99" ht="15" customHeight="1" s="118">
      <c r="C99" s="142" t="inlineStr">
        <is>
          <t>Total cost (kr.)</t>
        </is>
      </c>
      <c r="D99" s="145">
        <f>D97+D98</f>
        <v/>
      </c>
      <c r="E99" s="145">
        <f>E97+E98</f>
        <v/>
      </c>
      <c r="F99" s="145">
        <f>F97+F98</f>
        <v/>
      </c>
      <c r="G99" s="145">
        <f>G97+G98</f>
        <v/>
      </c>
      <c r="H99" s="145">
        <f>H97+H98</f>
        <v/>
      </c>
      <c r="I99" s="145">
        <f>I97+I98</f>
        <v/>
      </c>
      <c r="J99" s="145">
        <f>J97+J98</f>
        <v/>
      </c>
      <c r="K99" s="145">
        <f>K97+K98</f>
        <v/>
      </c>
      <c r="L99" s="145">
        <f>L97+L98</f>
        <v/>
      </c>
      <c r="M99" s="145">
        <f>M97+M98</f>
        <v/>
      </c>
      <c r="N99" s="145">
        <f>N97+N98</f>
        <v/>
      </c>
      <c r="O99" s="145">
        <f>O97+O98</f>
        <v/>
      </c>
      <c r="P99" s="145">
        <f>P97+P98</f>
        <v/>
      </c>
      <c r="Q99" s="145">
        <f>Q97+Q98</f>
        <v/>
      </c>
      <c r="R99" s="145">
        <f>R97+R98</f>
        <v/>
      </c>
      <c r="S99" s="145">
        <f>S97+S98</f>
        <v/>
      </c>
      <c r="T99" s="145">
        <f>T97+T98</f>
        <v/>
      </c>
      <c r="U99" s="145">
        <f>U97+U98</f>
        <v/>
      </c>
      <c r="V99" s="145">
        <f>V97+V98</f>
        <v/>
      </c>
      <c r="W99" s="145">
        <f>W97+W98</f>
        <v/>
      </c>
      <c r="X99" s="145">
        <f>X97+X98</f>
        <v/>
      </c>
      <c r="Y99" s="145">
        <f>Y97+Y98</f>
        <v/>
      </c>
      <c r="Z99" s="145">
        <f>Z97+Z98</f>
        <v/>
      </c>
      <c r="AA99" s="145">
        <f>AA97+AA98</f>
        <v/>
      </c>
      <c r="AB99" s="145">
        <f>AB97+AB98</f>
        <v/>
      </c>
      <c r="AC99" s="145">
        <f>AC97+AC98</f>
        <v/>
      </c>
      <c r="AD99" s="145">
        <f>AD97+AD98</f>
        <v/>
      </c>
      <c r="AE99" s="145">
        <f>AE97+AE98</f>
        <v/>
      </c>
      <c r="AF99" s="145">
        <f>AF97+AF98</f>
        <v/>
      </c>
      <c r="AG99" s="145">
        <f>AG97+AG98</f>
        <v/>
      </c>
      <c r="AH99" s="145">
        <f>AH97+AH98</f>
        <v/>
      </c>
    </row>
    <row r="100" ht="15" customHeight="1" s="118">
      <c r="C100" s="142" t="inlineStr">
        <is>
          <t>Partner sign-ups</t>
        </is>
      </c>
      <c r="D100" s="148" t="n">
        <v>52</v>
      </c>
      <c r="E100" s="148" t="n">
        <v>68</v>
      </c>
      <c r="F100" s="148" t="n">
        <v>77</v>
      </c>
      <c r="G100" s="148" t="n">
        <v>98</v>
      </c>
      <c r="H100" s="148" t="n">
        <v>434</v>
      </c>
      <c r="I100" s="148" t="n">
        <v>103</v>
      </c>
      <c r="J100" s="148" t="n">
        <v>91</v>
      </c>
      <c r="K100" s="148" t="n">
        <v>54</v>
      </c>
      <c r="L100" s="148" t="n">
        <v>75</v>
      </c>
      <c r="M100" s="148" t="n">
        <v>50</v>
      </c>
      <c r="N100" s="148" t="n">
        <v>51</v>
      </c>
      <c r="O100" s="148" t="n">
        <v>44</v>
      </c>
      <c r="P100" s="148" t="n">
        <v>31</v>
      </c>
      <c r="Q100" s="148" t="n">
        <v>39</v>
      </c>
      <c r="R100" s="148" t="n">
        <v>162</v>
      </c>
      <c r="S100" s="148" t="n">
        <v>105</v>
      </c>
      <c r="T100" s="148" t="n">
        <v>351</v>
      </c>
      <c r="U100" s="148" t="n">
        <v>419</v>
      </c>
      <c r="V100" s="148" t="n">
        <v>382</v>
      </c>
      <c r="W100" s="148" t="n"/>
      <c r="X100" s="148" t="n"/>
      <c r="Y100" s="148" t="n"/>
      <c r="Z100" s="148" t="n"/>
      <c r="AA100" s="148" t="n"/>
      <c r="AB100" s="148" t="n"/>
      <c r="AC100" s="148" t="n"/>
      <c r="AD100" s="148" t="n"/>
      <c r="AE100" s="148" t="n"/>
      <c r="AF100" s="148" t="n"/>
      <c r="AG100" s="148" t="n"/>
      <c r="AH100" s="148" t="n"/>
    </row>
    <row r="101" ht="15" customHeight="1" s="118">
      <c r="C101" s="142" t="inlineStr">
        <is>
          <t>Partner CAC (kr.)</t>
        </is>
      </c>
      <c r="D101" s="145">
        <f>IFERROR(D99/D100,0)</f>
        <v/>
      </c>
      <c r="E101" s="145">
        <f>IFERROR(E99/E100,0)</f>
        <v/>
      </c>
      <c r="F101" s="145">
        <f>IFERROR(F99/F100,0)</f>
        <v/>
      </c>
      <c r="G101" s="145">
        <f>IFERROR(G99/G100,0)</f>
        <v/>
      </c>
      <c r="H101" s="145">
        <f>IFERROR(H99/H100,0)</f>
        <v/>
      </c>
      <c r="I101" s="145">
        <f>IFERROR(I99/I100,0)</f>
        <v/>
      </c>
      <c r="J101" s="145">
        <f>IFERROR(J99/J100,0)</f>
        <v/>
      </c>
      <c r="K101" s="145">
        <f>IFERROR(K99/K100,0)</f>
        <v/>
      </c>
      <c r="L101" s="145">
        <f>IFERROR(L99/L100,0)</f>
        <v/>
      </c>
      <c r="M101" s="145">
        <f>IFERROR(M99/M100,0)</f>
        <v/>
      </c>
      <c r="N101" s="145">
        <f>IFERROR(N99/N100,0)</f>
        <v/>
      </c>
      <c r="O101" s="145">
        <f>IFERROR(O99/O100,0)</f>
        <v/>
      </c>
      <c r="P101" s="145">
        <f>IFERROR(P99/P100,0)</f>
        <v/>
      </c>
      <c r="Q101" s="145">
        <f>IFERROR(Q99/Q100,0)</f>
        <v/>
      </c>
      <c r="R101" s="145">
        <f>IFERROR(R99/R100,0)</f>
        <v/>
      </c>
      <c r="S101" s="145">
        <f>IFERROR(S99/S100,0)</f>
        <v/>
      </c>
      <c r="T101" s="145">
        <f>IFERROR(T99/T100,0)</f>
        <v/>
      </c>
      <c r="U101" s="145">
        <f>IFERROR(U99/U100,0)</f>
        <v/>
      </c>
      <c r="V101" s="145">
        <f>IFERROR(V99/V100,0)</f>
        <v/>
      </c>
      <c r="W101" s="145">
        <f>IFERROR(W99/W100,0)</f>
        <v/>
      </c>
      <c r="X101" s="145">
        <f>IFERROR(X99/X100,0)</f>
        <v/>
      </c>
      <c r="Y101" s="145">
        <f>IFERROR(Y99/Y100,0)</f>
        <v/>
      </c>
      <c r="Z101" s="145">
        <f>IFERROR(Z99/Z100,0)</f>
        <v/>
      </c>
      <c r="AA101" s="145">
        <f>IFERROR(AA99/AA100,0)</f>
        <v/>
      </c>
      <c r="AB101" s="145">
        <f>IFERROR(AB99/AB100,0)</f>
        <v/>
      </c>
      <c r="AC101" s="145">
        <f>IFERROR(AC99/AC100,0)</f>
        <v/>
      </c>
      <c r="AD101" s="145">
        <f>IFERROR(AD99/AD100,0)</f>
        <v/>
      </c>
      <c r="AE101" s="145">
        <f>IFERROR(AE99/AE100,0)</f>
        <v/>
      </c>
      <c r="AF101" s="145">
        <f>IFERROR(AF99/AF100,0)</f>
        <v/>
      </c>
      <c r="AG101" s="145">
        <f>IFERROR(AG99/AG100,0)</f>
        <v/>
      </c>
      <c r="AH101" s="145">
        <f>IFERROR(AH99/AH100,0)</f>
        <v/>
      </c>
    </row>
    <row r="103" ht="18" customHeight="1" s="118">
      <c r="B103" s="140" t="inlineStr">
        <is>
          <t>▪ REGNINGSTJEK</t>
        </is>
      </c>
    </row>
    <row r="104" ht="15" customHeight="1" s="118">
      <c r="B104" s="141" t="inlineStr">
        <is>
          <t>Regningstjek</t>
        </is>
      </c>
      <c r="C104" s="142" t="inlineStr">
        <is>
          <t>Unique uploads</t>
        </is>
      </c>
      <c r="D104" s="149" t="n"/>
      <c r="E104" s="149" t="n"/>
      <c r="F104" s="149" t="n">
        <v>370</v>
      </c>
      <c r="G104" s="149" t="n">
        <v>656</v>
      </c>
      <c r="H104" s="149" t="n">
        <v>1315</v>
      </c>
      <c r="I104" s="149" t="n">
        <v>1526</v>
      </c>
      <c r="J104" s="149" t="n">
        <v>314</v>
      </c>
      <c r="K104" s="149" t="n">
        <v>334</v>
      </c>
      <c r="L104" s="149" t="n">
        <v>326</v>
      </c>
      <c r="M104" s="149" t="n">
        <v>270</v>
      </c>
      <c r="N104" s="149" t="n">
        <v>205</v>
      </c>
      <c r="O104" s="149" t="n">
        <v>210</v>
      </c>
      <c r="P104" s="149" t="n">
        <v>208</v>
      </c>
      <c r="Q104" s="149" t="n">
        <v>309</v>
      </c>
      <c r="R104" s="149" t="n">
        <v>407</v>
      </c>
      <c r="S104" s="149" t="n">
        <v>238</v>
      </c>
      <c r="T104" s="149" t="n">
        <v>375</v>
      </c>
      <c r="U104" s="149" t="n">
        <v>443</v>
      </c>
      <c r="V104" s="149" t="n">
        <v>304</v>
      </c>
      <c r="W104" s="149" t="n">
        <v>191</v>
      </c>
      <c r="X104" s="149" t="n">
        <v>168</v>
      </c>
      <c r="Y104" s="149" t="n">
        <v>167</v>
      </c>
      <c r="Z104" s="149" t="n">
        <v>174</v>
      </c>
      <c r="AA104" s="149" t="n">
        <v>189</v>
      </c>
      <c r="AB104" s="149" t="n"/>
      <c r="AC104" s="149" t="n"/>
      <c r="AD104" s="149" t="n"/>
      <c r="AE104" s="149" t="n"/>
      <c r="AF104" s="149" t="n"/>
      <c r="AG104" s="149" t="n"/>
      <c r="AH104" s="149" t="n"/>
    </row>
    <row r="105" ht="15" customHeight="1" s="118">
      <c r="C105" s="142" t="inlineStr">
        <is>
          <t>New customer</t>
        </is>
      </c>
      <c r="D105" s="149" t="n"/>
      <c r="E105" s="149" t="n"/>
      <c r="F105" s="149" t="n">
        <v>75</v>
      </c>
      <c r="G105" s="149" t="n">
        <v>148</v>
      </c>
      <c r="H105" s="149" t="n">
        <v>288</v>
      </c>
      <c r="I105" s="149" t="n">
        <v>83</v>
      </c>
      <c r="J105" s="149" t="n">
        <v>66</v>
      </c>
      <c r="K105" s="149" t="n">
        <v>32</v>
      </c>
      <c r="L105" s="149" t="n">
        <v>83</v>
      </c>
      <c r="M105" s="149" t="n">
        <v>50</v>
      </c>
      <c r="N105" s="149" t="n">
        <v>38</v>
      </c>
      <c r="O105" s="149" t="n">
        <v>30</v>
      </c>
      <c r="P105" s="149" t="n">
        <v>37</v>
      </c>
      <c r="Q105" s="149" t="n">
        <v>31</v>
      </c>
      <c r="R105" s="149" t="n">
        <v>42</v>
      </c>
      <c r="S105" s="149" t="n">
        <v>30</v>
      </c>
      <c r="T105" s="149" t="n">
        <v>43</v>
      </c>
      <c r="U105" s="149" t="n">
        <v>56</v>
      </c>
      <c r="V105" s="149" t="n">
        <v>45</v>
      </c>
      <c r="W105" s="149" t="n">
        <v>21</v>
      </c>
      <c r="X105" s="149" t="n">
        <v>29</v>
      </c>
      <c r="Y105" s="149" t="n">
        <v>26</v>
      </c>
      <c r="Z105" s="149" t="n">
        <v>20</v>
      </c>
      <c r="AA105" s="149" t="n">
        <v>16</v>
      </c>
      <c r="AB105" s="149" t="n"/>
      <c r="AC105" s="149" t="n"/>
      <c r="AD105" s="149" t="n"/>
      <c r="AE105" s="149" t="n"/>
      <c r="AF105" s="149" t="n"/>
      <c r="AG105" s="149" t="n"/>
      <c r="AH105" s="149" t="n"/>
    </row>
    <row r="106" ht="15" customHeight="1" s="118">
      <c r="C106" s="142" t="inlineStr">
        <is>
          <t>Omkostning (kr.)</t>
        </is>
      </c>
      <c r="D106" s="149" t="n"/>
      <c r="E106" s="149" t="n"/>
      <c r="F106" s="149" t="n">
        <v>4411</v>
      </c>
      <c r="G106" s="149" t="n">
        <v>8645</v>
      </c>
      <c r="H106" s="149" t="n">
        <v>14861</v>
      </c>
      <c r="I106" s="149" t="n">
        <v>6972</v>
      </c>
      <c r="J106" s="149" t="n">
        <v>6138</v>
      </c>
      <c r="K106" s="149" t="n">
        <v>6150</v>
      </c>
      <c r="L106" s="149" t="n">
        <v>3818</v>
      </c>
      <c r="M106" s="149" t="n">
        <v>3855</v>
      </c>
      <c r="N106" s="149" t="n">
        <v>5125</v>
      </c>
      <c r="O106" s="149" t="n">
        <v>4688</v>
      </c>
      <c r="P106" s="149" t="n">
        <v>5021</v>
      </c>
      <c r="Q106" s="149" t="n">
        <v>5499</v>
      </c>
      <c r="R106" s="149" t="n">
        <v>5502</v>
      </c>
      <c r="S106" s="149" t="n">
        <v>4690</v>
      </c>
      <c r="T106" s="149" t="n">
        <v>4367</v>
      </c>
      <c r="U106" s="149" t="n">
        <v>6726</v>
      </c>
      <c r="V106" s="149" t="n">
        <v>5712</v>
      </c>
      <c r="W106" s="149" t="n">
        <v>4625</v>
      </c>
      <c r="X106" s="149" t="n">
        <v>4554</v>
      </c>
      <c r="Y106" s="149" t="n">
        <v>4098.3</v>
      </c>
      <c r="Z106" s="149" t="n">
        <v>3917.7</v>
      </c>
      <c r="AA106" s="149" t="n">
        <v>4180</v>
      </c>
      <c r="AB106" s="149" t="n"/>
      <c r="AC106" s="149" t="n"/>
      <c r="AD106" s="149" t="n"/>
      <c r="AE106" s="149" t="n"/>
      <c r="AF106" s="149" t="n"/>
      <c r="AG106" s="149" t="n"/>
      <c r="AH106" s="149" t="n"/>
    </row>
    <row r="107" ht="15" customHeight="1" s="118">
      <c r="C107" s="142" t="inlineStr">
        <is>
          <t>CAC (kr.)</t>
        </is>
      </c>
      <c r="D107" s="145">
        <f>IFERROR(D106/D105,0)</f>
        <v/>
      </c>
      <c r="E107" s="145">
        <f>IFERROR(E106/E105,0)</f>
        <v/>
      </c>
      <c r="F107" s="145">
        <f>IFERROR(F106/F105,0)</f>
        <v/>
      </c>
      <c r="G107" s="145">
        <f>IFERROR(G106/G105,0)</f>
        <v/>
      </c>
      <c r="H107" s="145">
        <f>IFERROR(H106/H105,0)</f>
        <v/>
      </c>
      <c r="I107" s="145">
        <f>IFERROR(I106/I105,0)</f>
        <v/>
      </c>
      <c r="J107" s="145">
        <f>IFERROR(J106/J105,0)</f>
        <v/>
      </c>
      <c r="K107" s="145">
        <f>IFERROR(K106/K105,0)</f>
        <v/>
      </c>
      <c r="L107" s="145">
        <f>IFERROR(L106/L105,0)</f>
        <v/>
      </c>
      <c r="M107" s="145">
        <f>IFERROR(M106/M105,0)</f>
        <v/>
      </c>
      <c r="N107" s="145">
        <f>IFERROR(N106/N105,0)</f>
        <v/>
      </c>
      <c r="O107" s="145">
        <f>IFERROR(O106/O105,0)</f>
        <v/>
      </c>
      <c r="P107" s="145">
        <f>IFERROR(P106/P105,0)</f>
        <v/>
      </c>
      <c r="Q107" s="145">
        <f>IFERROR(Q106/Q105,0)</f>
        <v/>
      </c>
      <c r="R107" s="145">
        <f>IFERROR(R106/R105,0)</f>
        <v/>
      </c>
      <c r="S107" s="145">
        <f>IFERROR(S106/S105,0)</f>
        <v/>
      </c>
      <c r="T107" s="145">
        <f>IFERROR(T106/T105,0)</f>
        <v/>
      </c>
      <c r="U107" s="145">
        <f>IFERROR(U106/U105,0)</f>
        <v/>
      </c>
      <c r="V107" s="145">
        <f>IFERROR(V106/V105,0)</f>
        <v/>
      </c>
      <c r="W107" s="145">
        <f>IFERROR(W106/W105,0)</f>
        <v/>
      </c>
      <c r="X107" s="145">
        <f>IFERROR(X106/X105,0)</f>
        <v/>
      </c>
      <c r="Y107" s="145">
        <f>IFERROR(Y106/Y105,0)</f>
        <v/>
      </c>
      <c r="Z107" s="145">
        <f>IFERROR(Z106/Z105,0)</f>
        <v/>
      </c>
      <c r="AA107" s="145">
        <f>IFERROR(AA106/AA105,0)</f>
        <v/>
      </c>
      <c r="AB107" s="145">
        <f>IFERROR(AB106/AB105,0)</f>
        <v/>
      </c>
      <c r="AC107" s="145">
        <f>IFERROR(AC106/AC105,0)</f>
        <v/>
      </c>
      <c r="AD107" s="145">
        <f>IFERROR(AD106/AD105,0)</f>
        <v/>
      </c>
      <c r="AE107" s="145">
        <f>IFERROR(AE106/AE105,0)</f>
        <v/>
      </c>
      <c r="AF107" s="145">
        <f>IFERROR(AF106/AF105,0)</f>
        <v/>
      </c>
      <c r="AG107" s="145">
        <f>IFERROR(AG106/AG105,0)</f>
        <v/>
      </c>
      <c r="AH107" s="145">
        <f>IFERROR(AH106/AH105,0)</f>
        <v/>
      </c>
    </row>
    <row r="109" ht="18" customHeight="1" s="118">
      <c r="B109" s="150" t="inlineStr">
        <is>
          <t>▪ TOTALS (beregnet)</t>
        </is>
      </c>
    </row>
    <row r="110" ht="15" customHeight="1" s="118">
      <c r="B110" s="141" t="inlineStr">
        <is>
          <t>Totaler</t>
        </is>
      </c>
      <c r="C110" s="142" t="inlineStr">
        <is>
          <t>Total marketing spend (kr.)</t>
        </is>
      </c>
      <c r="D110" s="151">
        <f>D5+D12+D19+D26+D33+D41+D48+D56+D63+D71+D78+D86</f>
        <v/>
      </c>
      <c r="E110" s="151">
        <f>E5+E12+E19+E26+E33+E41+E48+E56+E63+E71+E78+E86</f>
        <v/>
      </c>
      <c r="F110" s="151">
        <f>F5+F12+F19+F26+F33+F41+F48+F56+F63+F71+F78+F86</f>
        <v/>
      </c>
      <c r="G110" s="151">
        <f>G5+G12+G19+G26+G33+G41+G48+G56+G63+G71+G78+G86</f>
        <v/>
      </c>
      <c r="H110" s="151">
        <f>H5+H12+H19+H26+H33+H41+H48+H56+H63+H71+H78+H86</f>
        <v/>
      </c>
      <c r="I110" s="151">
        <f>I5+I12+I19+I26+I33+I41+I48+I56+I63+I71+I78+I86</f>
        <v/>
      </c>
      <c r="J110" s="151">
        <f>J5+J12+J19+J26+J33+J41+J48+J56+J63+J71+J78+J86</f>
        <v/>
      </c>
      <c r="K110" s="151">
        <f>K5+K12+K19+K26+K33+K41+K48+K56+K63+K71+K78+K86</f>
        <v/>
      </c>
      <c r="L110" s="151">
        <f>L5+L12+L19+L26+L33+L41+L48+L56+L63+L71+L78+L86</f>
        <v/>
      </c>
      <c r="M110" s="151">
        <f>M5+M12+M19+M26+M33+M41+M48+M56+M63+M71+M78+M86</f>
        <v/>
      </c>
      <c r="N110" s="151">
        <f>N5+N12+N19+N26+N33+N41+N48+N56+N63+N71+N78+N86</f>
        <v/>
      </c>
      <c r="O110" s="151">
        <f>O5+O12+O19+O26+O33+O41+O48+O56+O63+O71+O78+O86</f>
        <v/>
      </c>
      <c r="P110" s="151">
        <f>P5+P12+P19+P26+P33+P41+P48+P56+P63+P71+P78+P86</f>
        <v/>
      </c>
      <c r="Q110" s="151">
        <f>Q5+Q12+Q19+Q26+Q33+Q41+Q48+Q56+Q63+Q71+Q78+Q86</f>
        <v/>
      </c>
      <c r="R110" s="151">
        <f>R5+R12+R19+R26+R33+R41+R48+R56+R63+R71+R78+R86</f>
        <v/>
      </c>
      <c r="S110" s="151">
        <f>S5+S12+S19+S26+S33+S41+S48+S56+S63+S71+S78+S86</f>
        <v/>
      </c>
      <c r="T110" s="151">
        <f>T5+T12+T19+T26+T33+T41+T48+T56+T63+T71+T78+T86</f>
        <v/>
      </c>
      <c r="U110" s="151">
        <f>U5+U12+U19+U26+U33+U41+U48+U56+U63+U71+U78+U86</f>
        <v/>
      </c>
      <c r="V110" s="151">
        <f>V5+V12+V19+V26+V33+V41+V48+V56+V63+V71+V78+V86</f>
        <v/>
      </c>
      <c r="W110" s="151">
        <f>W5+W12+W19+W26+W33+W41+W48+W56+W63+W71+W78+W86</f>
        <v/>
      </c>
      <c r="X110" s="151">
        <f>X5+X12+X19+X26+X33+X41+X48+X56+X63+X71+X78+X86</f>
        <v/>
      </c>
      <c r="Y110" s="151">
        <f>Y5+Y12+Y19+Y26+Y33+Y41+Y48+Y56+Y63+Y71+Y78+Y86</f>
        <v/>
      </c>
      <c r="Z110" s="151">
        <f>Z5+Z12+Z19+Z26+Z33+Z41+Z48+Z56+Z63+Z71+Z78+Z86</f>
        <v/>
      </c>
      <c r="AA110" s="151">
        <f>AA5+AA12+AA19+AA26+AA33+AA41+AA48+AA56+AA63+AA71+AA78+AA86</f>
        <v/>
      </c>
      <c r="AB110" s="151">
        <f>AB5+AB12+AB19+AB26+AB33+AB41+AB48+AB56+AB63+AB71+AB78+AB86</f>
        <v/>
      </c>
      <c r="AC110" s="151">
        <f>AC5+AC12+AC19+AC26+AC33+AC41+AC48+AC56+AC63+AC71+AC78+AC86</f>
        <v/>
      </c>
      <c r="AD110" s="151">
        <f>AD5+AD12+AD19+AD26+AD33+AD41+AD48+AD56+AD63+AD71+AD78+AD86</f>
        <v/>
      </c>
      <c r="AE110" s="151">
        <f>AE5+AE12+AE19+AE26+AE33+AE41+AE48+AE56+AE63+AE71+AE78+AE86</f>
        <v/>
      </c>
      <c r="AF110" s="151">
        <f>AF5+AF12+AF19+AF26+AF33+AF41+AF48+AF56+AF63+AF71+AF78+AF86</f>
        <v/>
      </c>
      <c r="AG110" s="151">
        <f>AG5+AG12+AG19+AG26+AG33+AG41+AG48+AG56+AG63+AG71+AG78+AG86</f>
        <v/>
      </c>
      <c r="AH110" s="151">
        <f>AH5+AH12+AH19+AH26+AH33+AH41+AH48+AH56+AH63+AH71+AH78+AH86</f>
        <v/>
      </c>
    </row>
    <row r="111" ht="15" customHeight="1" s="118">
      <c r="C111" s="142" t="inlineStr">
        <is>
          <t>Total sign-ups (alle kanaler)</t>
        </is>
      </c>
      <c r="D111" s="151">
        <f>D8+D15+D22+D29+D36+D44+D51+D59+D66+D74+D81+D89</f>
        <v/>
      </c>
      <c r="E111" s="151">
        <f>E8+E15+E22+E29+E36+E44+E51+E59+E66+E74+E81+E89</f>
        <v/>
      </c>
      <c r="F111" s="151">
        <f>F8+F15+F22+F29+F36+F44+F51+F59+F66+F74+F81+F89</f>
        <v/>
      </c>
      <c r="G111" s="151">
        <f>G8+G15+G22+G29+G36+G44+G51+G59+G66+G74+G81+G89</f>
        <v/>
      </c>
      <c r="H111" s="151">
        <f>H8+H15+H22+H29+H36+H44+H51+H59+H66+H74+H81+H89</f>
        <v/>
      </c>
      <c r="I111" s="151">
        <f>I8+I15+I22+I29+I36+I44+I51+I59+I66+I74+I81+I89</f>
        <v/>
      </c>
      <c r="J111" s="151">
        <f>J8+J15+J22+J29+J36+J44+J51+J59+J66+J74+J81+J89</f>
        <v/>
      </c>
      <c r="K111" s="151">
        <f>K8+K15+K22+K29+K36+K44+K51+K59+K66+K74+K81+K89</f>
        <v/>
      </c>
      <c r="L111" s="151">
        <f>L8+L15+L22+L29+L36+L44+L51+L59+L66+L74+L81+L89</f>
        <v/>
      </c>
      <c r="M111" s="151">
        <f>M8+M15+M22+M29+M36+M44+M51+M59+M66+M74+M81+M89</f>
        <v/>
      </c>
      <c r="N111" s="151">
        <f>N8+N15+N22+N29+N36+N44+N51+N59+N66+N74+N81+N89</f>
        <v/>
      </c>
      <c r="O111" s="151">
        <f>O8+O15+O22+O29+O36+O44+O51+O59+O66+O74+O81+O89</f>
        <v/>
      </c>
      <c r="P111" s="151">
        <f>P8+P15+P22+P29+P36+P44+P51+P59+P66+P74+P81+P89</f>
        <v/>
      </c>
      <c r="Q111" s="151">
        <f>Q8+Q15+Q22+Q29+Q36+Q44+Q51+Q59+Q66+Q74+Q81+Q89</f>
        <v/>
      </c>
      <c r="R111" s="151">
        <f>R8+R15+R22+R29+R36+R44+R51+R59+R66+R74+R81+R89</f>
        <v/>
      </c>
      <c r="S111" s="151">
        <f>S8+S15+S22+S29+S36+S44+S51+S59+S66+S74+S81+S89</f>
        <v/>
      </c>
      <c r="T111" s="151">
        <f>T8+T15+T22+T29+T36+T44+T51+T59+T66+T74+T81+T89</f>
        <v/>
      </c>
      <c r="U111" s="151">
        <f>U8+U15+U22+U29+U36+U44+U51+U59+U66+U74+U81+U89</f>
        <v/>
      </c>
      <c r="V111" s="151">
        <f>V8+V15+V22+V29+V36+V44+V51+V59+V66+V74+V81+V89</f>
        <v/>
      </c>
      <c r="W111" s="151">
        <f>W8+W15+W22+W29+W36+W44+W51+W59+W66+W74+W81+W89</f>
        <v/>
      </c>
      <c r="X111" s="151">
        <f>X8+X15+X22+X29+X36+X44+X51+X59+X66+X74+X81+X89</f>
        <v/>
      </c>
      <c r="Y111" s="151">
        <f>Y8+Y15+Y22+Y29+Y36+Y44+Y51+Y59+Y66+Y74+Y81+Y89</f>
        <v/>
      </c>
      <c r="Z111" s="151">
        <f>Z8+Z15+Z22+Z29+Z36+Z44+Z51+Z59+Z66+Z74+Z81+Z89</f>
        <v/>
      </c>
      <c r="AA111" s="151">
        <f>AA8+AA15+AA22+AA29+AA36+AA44+AA51+AA59+AA66+AA74+AA81+AA89</f>
        <v/>
      </c>
      <c r="AB111" s="151">
        <f>AB8+AB15+AB22+AB29+AB36+AB44+AB51+AB59+AB66+AB74+AB81+AB89</f>
        <v/>
      </c>
      <c r="AC111" s="151">
        <f>AC8+AC15+AC22+AC29+AC36+AC44+AC51+AC59+AC66+AC74+AC81+AC89</f>
        <v/>
      </c>
      <c r="AD111" s="151">
        <f>AD8+AD15+AD22+AD29+AD36+AD44+AD51+AD59+AD66+AD74+AD81+AD89</f>
        <v/>
      </c>
      <c r="AE111" s="151">
        <f>AE8+AE15+AE22+AE29+AE36+AE44+AE51+AE59+AE66+AE74+AE81+AE89</f>
        <v/>
      </c>
      <c r="AF111" s="151">
        <f>AF8+AF15+AF22+AF29+AF36+AF44+AF51+AF59+AF66+AF74+AF81+AF89</f>
        <v/>
      </c>
      <c r="AG111" s="151">
        <f>AG8+AG15+AG22+AG29+AG36+AG44+AG51+AG59+AG66+AG74+AG81+AG89</f>
        <v/>
      </c>
      <c r="AH111" s="151">
        <f>AH8+AH15+AH22+AH29+AH36+AH44+AH51+AH59+AH66+AH74+AH81+AH89</f>
        <v/>
      </c>
    </row>
    <row r="112" ht="15" customHeight="1" s="118">
      <c r="C112" s="142" t="inlineStr">
        <is>
          <t>Total CAC (kr.)</t>
        </is>
      </c>
      <c r="D112" s="151">
        <f>IFERROR(D110/D111,0)</f>
        <v/>
      </c>
      <c r="E112" s="151">
        <f>IFERROR(E110/E111,0)</f>
        <v/>
      </c>
      <c r="F112" s="151">
        <f>IFERROR(F110/F111,0)</f>
        <v/>
      </c>
      <c r="G112" s="151">
        <f>IFERROR(G110/G111,0)</f>
        <v/>
      </c>
      <c r="H112" s="151">
        <f>IFERROR(H110/H111,0)</f>
        <v/>
      </c>
      <c r="I112" s="151">
        <f>IFERROR(I110/I111,0)</f>
        <v/>
      </c>
      <c r="J112" s="151">
        <f>IFERROR(J110/J111,0)</f>
        <v/>
      </c>
      <c r="K112" s="151">
        <f>IFERROR(K110/K111,0)</f>
        <v/>
      </c>
      <c r="L112" s="151">
        <f>IFERROR(L110/L111,0)</f>
        <v/>
      </c>
      <c r="M112" s="151">
        <f>IFERROR(M110/M111,0)</f>
        <v/>
      </c>
      <c r="N112" s="151">
        <f>IFERROR(N110/N111,0)</f>
        <v/>
      </c>
      <c r="O112" s="151">
        <f>IFERROR(O110/O111,0)</f>
        <v/>
      </c>
      <c r="P112" s="151">
        <f>IFERROR(P110/P111,0)</f>
        <v/>
      </c>
      <c r="Q112" s="151">
        <f>IFERROR(Q110/Q111,0)</f>
        <v/>
      </c>
      <c r="R112" s="151">
        <f>IFERROR(R110/R111,0)</f>
        <v/>
      </c>
      <c r="S112" s="151">
        <f>IFERROR(S110/S111,0)</f>
        <v/>
      </c>
      <c r="T112" s="151">
        <f>IFERROR(T110/T111,0)</f>
        <v/>
      </c>
      <c r="U112" s="151">
        <f>IFERROR(U110/U111,0)</f>
        <v/>
      </c>
      <c r="V112" s="151">
        <f>IFERROR(V110/V111,0)</f>
        <v/>
      </c>
      <c r="W112" s="151">
        <f>IFERROR(W110/W111,0)</f>
        <v/>
      </c>
      <c r="X112" s="151">
        <f>IFERROR(X110/X111,0)</f>
        <v/>
      </c>
      <c r="Y112" s="151">
        <f>IFERROR(Y110/Y111,0)</f>
        <v/>
      </c>
      <c r="Z112" s="151">
        <f>IFERROR(Z110/Z111,0)</f>
        <v/>
      </c>
      <c r="AA112" s="151">
        <f>IFERROR(AA110/AA111,0)</f>
        <v/>
      </c>
      <c r="AB112" s="151">
        <f>IFERROR(AB110/AB111,0)</f>
        <v/>
      </c>
      <c r="AC112" s="151">
        <f>IFERROR(AC110/AC111,0)</f>
        <v/>
      </c>
      <c r="AD112" s="151">
        <f>IFERROR(AD110/AD111,0)</f>
        <v/>
      </c>
      <c r="AE112" s="151">
        <f>IFERROR(AE110/AE111,0)</f>
        <v/>
      </c>
      <c r="AF112" s="151">
        <f>IFERROR(AF110/AF111,0)</f>
        <v/>
      </c>
      <c r="AG112" s="151">
        <f>IFERROR(AG110/AG111,0)</f>
        <v/>
      </c>
      <c r="AH112" s="151">
        <f>IFERROR(AH110/AH111,0)</f>
        <v/>
      </c>
    </row>
    <row r="113" ht="15" customHeight="1" s="118">
      <c r="C113" s="142" t="inlineStr">
        <is>
          <t>Total visitors</t>
        </is>
      </c>
      <c r="D113" s="151">
        <f>D7+D14+D21+D28+D35+D43+D50+D58+D65+D73+D80+D88</f>
        <v/>
      </c>
      <c r="E113" s="151">
        <f>E7+E14+E21+E28+E35+E43+E50+E58+E65+E73+E80+E88</f>
        <v/>
      </c>
      <c r="F113" s="151">
        <f>F7+F14+F21+F28+F35+F43+F50+F58+F65+F73+F80+F88</f>
        <v/>
      </c>
      <c r="G113" s="151">
        <f>G7+G14+G21+G28+G35+G43+G50+G58+G65+G73+G80+G88</f>
        <v/>
      </c>
      <c r="H113" s="151">
        <f>H7+H14+H21+H28+H35+H43+H50+H58+H65+H73+H80+H88</f>
        <v/>
      </c>
      <c r="I113" s="151">
        <f>I7+I14+I21+I28+I35+I43+I50+I58+I65+I73+I80+I88</f>
        <v/>
      </c>
      <c r="J113" s="151">
        <f>J7+J14+J21+J28+J35+J43+J50+J58+J65+J73+J80+J88</f>
        <v/>
      </c>
      <c r="K113" s="151">
        <f>K7+K14+K21+K28+K35+K43+K50+K58+K65+K73+K80+K88</f>
        <v/>
      </c>
      <c r="L113" s="151">
        <f>L7+L14+L21+L28+L35+L43+L50+L58+L65+L73+L80+L88</f>
        <v/>
      </c>
      <c r="M113" s="151">
        <f>M7+M14+M21+M28+M35+M43+M50+M58+M65+M73+M80+M88</f>
        <v/>
      </c>
      <c r="N113" s="151">
        <f>N7+N14+N21+N28+N35+N43+N50+N58+N65+N73+N80+N88</f>
        <v/>
      </c>
      <c r="O113" s="151">
        <f>O7+O14+O21+O28+O35+O43+O50+O58+O65+O73+O80+O88</f>
        <v/>
      </c>
      <c r="P113" s="151">
        <f>P7+P14+P21+P28+P35+P43+P50+P58+P65+P73+P80+P88</f>
        <v/>
      </c>
      <c r="Q113" s="151">
        <f>Q7+Q14+Q21+Q28+Q35+Q43+Q50+Q58+Q65+Q73+Q80+Q88</f>
        <v/>
      </c>
      <c r="R113" s="151">
        <f>R7+R14+R21+R28+R35+R43+R50+R58+R65+R73+R80+R88</f>
        <v/>
      </c>
      <c r="S113" s="151">
        <f>S7+S14+S21+S28+S35+S43+S50+S58+S65+S73+S80+S88</f>
        <v/>
      </c>
      <c r="T113" s="151">
        <f>T7+T14+T21+T28+T35+T43+T50+T58+T65+T73+T80+T88</f>
        <v/>
      </c>
      <c r="U113" s="151">
        <f>U7+U14+U21+U28+U35+U43+U50+U58+U65+U73+U80+U88</f>
        <v/>
      </c>
      <c r="V113" s="151">
        <f>V7+V14+V21+V28+V35+V43+V50+V58+V65+V73+V80+V88</f>
        <v/>
      </c>
      <c r="W113" s="151">
        <f>W7+W14+W21+W28+W35+W43+W50+W58+W65+W73+W80+W88</f>
        <v/>
      </c>
      <c r="X113" s="151">
        <f>X7+X14+X21+X28+X35+X43+X50+X58+X65+X73+X80+X88</f>
        <v/>
      </c>
      <c r="Y113" s="151">
        <f>Y7+Y14+Y21+Y28+Y35+Y43+Y50+Y58+Y65+Y73+Y80+Y88</f>
        <v/>
      </c>
      <c r="Z113" s="151">
        <f>Z7+Z14+Z21+Z28+Z35+Z43+Z50+Z58+Z65+Z73+Z80+Z88</f>
        <v/>
      </c>
      <c r="AA113" s="151">
        <f>AA7+AA14+AA21+AA28+AA35+AA43+AA50+AA58+AA65+AA73+AA80+AA88</f>
        <v/>
      </c>
      <c r="AB113" s="151">
        <f>AB7+AB14+AB21+AB28+AB35+AB43+AB50+AB58+AB65+AB73+AB80+AB88</f>
        <v/>
      </c>
      <c r="AC113" s="151">
        <f>AC7+AC14+AC21+AC28+AC35+AC43+AC50+AC58+AC65+AC73+AC80+AC88</f>
        <v/>
      </c>
      <c r="AD113" s="151">
        <f>AD7+AD14+AD21+AD28+AD35+AD43+AD50+AD58+AD65+AD73+AD80+AD88</f>
        <v/>
      </c>
      <c r="AE113" s="151">
        <f>AE7+AE14+AE21+AE28+AE35+AE43+AE50+AE58+AE65+AE73+AE80+AE88</f>
        <v/>
      </c>
      <c r="AF113" s="151">
        <f>AF7+AF14+AF21+AF28+AF35+AF43+AF50+AF58+AF65+AF73+AF80+AF88</f>
        <v/>
      </c>
      <c r="AG113" s="151">
        <f>AG7+AG14+AG21+AG28+AG35+AG43+AG50+AG58+AG65+AG73+AG80+AG88</f>
        <v/>
      </c>
      <c r="AH113" s="151">
        <f>AH7+AH14+AH21+AH28+AH35+AH43+AH50+AH58+AH65+AH73+AH80+AH88</f>
        <v/>
      </c>
    </row>
    <row r="114" ht="15" customHeight="1" s="118">
      <c r="C114" s="142" t="inlineStr">
        <is>
          <t>— heraf paid</t>
        </is>
      </c>
      <c r="D114" s="151">
        <f>D7+D14+D21+D28+D35+D43+D50+D58+D65+D73+D80</f>
        <v/>
      </c>
      <c r="E114" s="151">
        <f>E7+E14+E21+E28+E35+E43+E50+E58+E65+E73+E80</f>
        <v/>
      </c>
      <c r="F114" s="151">
        <f>F7+F14+F21+F28+F35+F43+F50+F58+F65+F73+F80</f>
        <v/>
      </c>
      <c r="G114" s="151">
        <f>G7+G14+G21+G28+G35+G43+G50+G58+G65+G73+G80</f>
        <v/>
      </c>
      <c r="H114" s="151">
        <f>H7+H14+H21+H28+H35+H43+H50+H58+H65+H73+H80</f>
        <v/>
      </c>
      <c r="I114" s="151">
        <f>I7+I14+I21+I28+I35+I43+I50+I58+I65+I73+I80</f>
        <v/>
      </c>
      <c r="J114" s="151">
        <f>J7+J14+J21+J28+J35+J43+J50+J58+J65+J73+J80</f>
        <v/>
      </c>
      <c r="K114" s="151">
        <f>K7+K14+K21+K28+K35+K43+K50+K58+K65+K73+K80</f>
        <v/>
      </c>
      <c r="L114" s="151">
        <f>L7+L14+L21+L28+L35+L43+L50+L58+L65+L73+L80</f>
        <v/>
      </c>
      <c r="M114" s="151">
        <f>M7+M14+M21+M28+M35+M43+M50+M58+M65+M73+M80</f>
        <v/>
      </c>
      <c r="N114" s="151">
        <f>N7+N14+N21+N28+N35+N43+N50+N58+N65+N73+N80</f>
        <v/>
      </c>
      <c r="O114" s="151">
        <f>O7+O14+O21+O28+O35+O43+O50+O58+O65+O73+O80</f>
        <v/>
      </c>
      <c r="P114" s="151">
        <f>P7+P14+P21+P28+P35+P43+P50+P58+P65+P73+P80</f>
        <v/>
      </c>
      <c r="Q114" s="151">
        <f>Q7+Q14+Q21+Q28+Q35+Q43+Q50+Q58+Q65+Q73+Q80</f>
        <v/>
      </c>
      <c r="R114" s="151">
        <f>R7+R14+R21+R28+R35+R43+R50+R58+R65+R73+R80</f>
        <v/>
      </c>
      <c r="S114" s="151">
        <f>S7+S14+S21+S28+S35+S43+S50+S58+S65+S73+S80</f>
        <v/>
      </c>
      <c r="T114" s="151">
        <f>T7+T14+T21+T28+T35+T43+T50+T58+T65+T73+T80</f>
        <v/>
      </c>
      <c r="U114" s="151">
        <f>U7+U14+U21+U28+U35+U43+U50+U58+U65+U73+U80</f>
        <v/>
      </c>
      <c r="V114" s="151">
        <f>V7+V14+V21+V28+V35+V43+V50+V58+V65+V73+V80</f>
        <v/>
      </c>
      <c r="W114" s="151">
        <f>W7+W14+W21+W28+W35+W43+W50+W58+W65+W73+W80</f>
        <v/>
      </c>
      <c r="X114" s="151">
        <f>X7+X14+X21+X28+X35+X43+X50+X58+X65+X73+X80</f>
        <v/>
      </c>
      <c r="Y114" s="151">
        <f>Y7+Y14+Y21+Y28+Y35+Y43+Y50+Y58+Y65+Y73+Y80</f>
        <v/>
      </c>
      <c r="Z114" s="151">
        <f>Z7+Z14+Z21+Z28+Z35+Z43+Z50+Z58+Z65+Z73+Z80</f>
        <v/>
      </c>
      <c r="AA114" s="151">
        <f>AA7+AA14+AA21+AA28+AA35+AA43+AA50+AA58+AA65+AA73+AA80</f>
        <v/>
      </c>
      <c r="AB114" s="151">
        <f>AB7+AB14+AB21+AB28+AB35+AB43+AB50+AB58+AB65+AB73+AB80</f>
        <v/>
      </c>
      <c r="AC114" s="151">
        <f>AC7+AC14+AC21+AC28+AC35+AC43+AC50+AC58+AC65+AC73+AC80</f>
        <v/>
      </c>
      <c r="AD114" s="151">
        <f>AD7+AD14+AD21+AD28+AD35+AD43+AD50+AD58+AD65+AD73+AD80</f>
        <v/>
      </c>
      <c r="AE114" s="151">
        <f>AE7+AE14+AE21+AE28+AE35+AE43+AE50+AE58+AE65+AE73+AE80</f>
        <v/>
      </c>
      <c r="AF114" s="151">
        <f>AF7+AF14+AF21+AF28+AF35+AF43+AF50+AF58+AF65+AF73+AF80</f>
        <v/>
      </c>
      <c r="AG114" s="151">
        <f>AG7+AG14+AG21+AG28+AG35+AG43+AG50+AG58+AG65+AG73+AG80</f>
        <v/>
      </c>
      <c r="AH114" s="151">
        <f>AH7+AH14+AH21+AH28+AH35+AH43+AH50+AH58+AH65+AH73+AH80</f>
        <v/>
      </c>
    </row>
    <row r="115" ht="15" customHeight="1" s="118">
      <c r="C115" s="142" t="inlineStr">
        <is>
          <t>— heraf organic</t>
        </is>
      </c>
      <c r="D115" s="151">
        <f>D88</f>
        <v/>
      </c>
      <c r="E115" s="151">
        <f>E88</f>
        <v/>
      </c>
      <c r="F115" s="151">
        <f>F88</f>
        <v/>
      </c>
      <c r="G115" s="151">
        <f>G88</f>
        <v/>
      </c>
      <c r="H115" s="151">
        <f>H88</f>
        <v/>
      </c>
      <c r="I115" s="151">
        <f>I88</f>
        <v/>
      </c>
      <c r="J115" s="151">
        <f>J88</f>
        <v/>
      </c>
      <c r="K115" s="151">
        <f>K88</f>
        <v/>
      </c>
      <c r="L115" s="151">
        <f>L88</f>
        <v/>
      </c>
      <c r="M115" s="151">
        <f>M88</f>
        <v/>
      </c>
      <c r="N115" s="151">
        <f>N88</f>
        <v/>
      </c>
      <c r="O115" s="151">
        <f>O88</f>
        <v/>
      </c>
      <c r="P115" s="151">
        <f>P88</f>
        <v/>
      </c>
      <c r="Q115" s="151">
        <f>Q88</f>
        <v/>
      </c>
      <c r="R115" s="151">
        <f>R88</f>
        <v/>
      </c>
      <c r="S115" s="151">
        <f>S88</f>
        <v/>
      </c>
      <c r="T115" s="151">
        <f>T88</f>
        <v/>
      </c>
      <c r="U115" s="151">
        <f>U88</f>
        <v/>
      </c>
      <c r="V115" s="151">
        <f>V88</f>
        <v/>
      </c>
      <c r="W115" s="151">
        <f>W88</f>
        <v/>
      </c>
      <c r="X115" s="151">
        <f>X88</f>
        <v/>
      </c>
      <c r="Y115" s="151">
        <f>Y88</f>
        <v/>
      </c>
      <c r="Z115" s="151">
        <f>Z88</f>
        <v/>
      </c>
      <c r="AA115" s="151">
        <f>AA88</f>
        <v/>
      </c>
      <c r="AB115" s="151">
        <f>AB88</f>
        <v/>
      </c>
      <c r="AC115" s="151">
        <f>AC88</f>
        <v/>
      </c>
      <c r="AD115" s="151">
        <f>AD88</f>
        <v/>
      </c>
      <c r="AE115" s="151">
        <f>AE88</f>
        <v/>
      </c>
      <c r="AF115" s="151">
        <f>AF88</f>
        <v/>
      </c>
      <c r="AG115" s="151">
        <f>AG88</f>
        <v/>
      </c>
      <c r="AH115" s="151">
        <f>AH88</f>
        <v/>
      </c>
    </row>
    <row r="116" ht="15" customHeight="1" s="118">
      <c r="C116" s="142" t="inlineStr">
        <is>
          <t>Total CVR</t>
        </is>
      </c>
      <c r="D116" s="152">
        <f>IFERROR(D111/D113,0)</f>
        <v/>
      </c>
      <c r="E116" s="152">
        <f>IFERROR(E111/E113,0)</f>
        <v/>
      </c>
      <c r="F116" s="152">
        <f>IFERROR(F111/F113,0)</f>
        <v/>
      </c>
      <c r="G116" s="152">
        <f>IFERROR(G111/G113,0)</f>
        <v/>
      </c>
      <c r="H116" s="152">
        <f>IFERROR(H111/H113,0)</f>
        <v/>
      </c>
      <c r="I116" s="152">
        <f>IFERROR(I111/I113,0)</f>
        <v/>
      </c>
      <c r="J116" s="152">
        <f>IFERROR(J111/J113,0)</f>
        <v/>
      </c>
      <c r="K116" s="152">
        <f>IFERROR(K111/K113,0)</f>
        <v/>
      </c>
      <c r="L116" s="152">
        <f>IFERROR(L111/L113,0)</f>
        <v/>
      </c>
      <c r="M116" s="152">
        <f>IFERROR(M111/M113,0)</f>
        <v/>
      </c>
      <c r="N116" s="152">
        <f>IFERROR(N111/N113,0)</f>
        <v/>
      </c>
      <c r="O116" s="152">
        <f>IFERROR(O111/O113,0)</f>
        <v/>
      </c>
      <c r="P116" s="152">
        <f>IFERROR(P111/P113,0)</f>
        <v/>
      </c>
      <c r="Q116" s="152">
        <f>IFERROR(Q111/Q113,0)</f>
        <v/>
      </c>
      <c r="R116" s="152">
        <f>IFERROR(R111/R113,0)</f>
        <v/>
      </c>
      <c r="S116" s="152">
        <f>IFERROR(S111/S113,0)</f>
        <v/>
      </c>
      <c r="T116" s="152">
        <f>IFERROR(T111/T113,0)</f>
        <v/>
      </c>
      <c r="U116" s="152">
        <f>IFERROR(U111/U113,0)</f>
        <v/>
      </c>
      <c r="V116" s="152">
        <f>IFERROR(V111/V113,0)</f>
        <v/>
      </c>
      <c r="W116" s="152">
        <f>IFERROR(W111/W113,0)</f>
        <v/>
      </c>
      <c r="X116" s="152">
        <f>IFERROR(X111/X113,0)</f>
        <v/>
      </c>
      <c r="Y116" s="152">
        <f>IFERROR(Y111/Y113,0)</f>
        <v/>
      </c>
      <c r="Z116" s="152">
        <f>IFERROR(Z111/Z113,0)</f>
        <v/>
      </c>
      <c r="AA116" s="152">
        <f>IFERROR(AA111/AA113,0)</f>
        <v/>
      </c>
      <c r="AB116" s="152">
        <f>IFERROR(AB111/AB113,0)</f>
        <v/>
      </c>
      <c r="AC116" s="152">
        <f>IFERROR(AC111/AC113,0)</f>
        <v/>
      </c>
      <c r="AD116" s="152">
        <f>IFERROR(AD111/AD113,0)</f>
        <v/>
      </c>
      <c r="AE116" s="152">
        <f>IFERROR(AE111/AE113,0)</f>
        <v/>
      </c>
      <c r="AF116" s="152">
        <f>IFERROR(AF111/AF113,0)</f>
        <v/>
      </c>
      <c r="AG116" s="152">
        <f>IFERROR(AG111/AG113,0)</f>
        <v/>
      </c>
      <c r="AH116" s="152">
        <f>IFERROR(AH111/AH113,0)</f>
        <v/>
      </c>
    </row>
    <row r="117" ht="15" customHeight="1" s="118">
      <c r="C117" s="142" t="inlineStr">
        <is>
          <t>Paid marketing spend (kr.)</t>
        </is>
      </c>
      <c r="D117" s="151">
        <f>D5+D12+D19+D26+D33</f>
        <v/>
      </c>
      <c r="E117" s="151">
        <f>E5+E12+E19+E26+E33</f>
        <v/>
      </c>
      <c r="F117" s="151">
        <f>F5+F12+F19+F26+F33</f>
        <v/>
      </c>
      <c r="G117" s="151">
        <f>G5+G12+G19+G26+G33</f>
        <v/>
      </c>
      <c r="H117" s="151">
        <f>H5+H12+H19+H26+H33</f>
        <v/>
      </c>
      <c r="I117" s="151">
        <f>I5+I12+I19+I26+I33</f>
        <v/>
      </c>
      <c r="J117" s="151">
        <f>J5+J12+J19+J26+J33</f>
        <v/>
      </c>
      <c r="K117" s="151">
        <f>K5+K12+K19+K26+K33</f>
        <v/>
      </c>
      <c r="L117" s="151">
        <f>L5+L12+L19+L26+L33</f>
        <v/>
      </c>
      <c r="M117" s="151">
        <f>M5+M12+M19+M26+M33</f>
        <v/>
      </c>
      <c r="N117" s="151">
        <f>N5+N12+N19+N26+N33</f>
        <v/>
      </c>
      <c r="O117" s="151">
        <f>O5+O12+O19+O26+O33</f>
        <v/>
      </c>
      <c r="P117" s="151">
        <f>P5+P12+P19+P26+P33</f>
        <v/>
      </c>
      <c r="Q117" s="151">
        <f>Q5+Q12+Q19+Q26+Q33</f>
        <v/>
      </c>
      <c r="R117" s="151">
        <f>R5+R12+R19+R26+R33</f>
        <v/>
      </c>
      <c r="S117" s="151">
        <f>S5+S12+S19+S26+S33</f>
        <v/>
      </c>
      <c r="T117" s="151">
        <f>T5+T12+T19+T26+T33</f>
        <v/>
      </c>
      <c r="U117" s="151">
        <f>U5+U12+U19+U26+U33</f>
        <v/>
      </c>
      <c r="V117" s="151">
        <f>V5+V12+V19+V26+V33</f>
        <v/>
      </c>
      <c r="W117" s="151">
        <f>W5+W12+W19+W26+W33</f>
        <v/>
      </c>
      <c r="X117" s="151">
        <f>X5+X12+X19+X26+X33</f>
        <v/>
      </c>
      <c r="Y117" s="151">
        <f>Y5+Y12+Y19+Y26+Y33</f>
        <v/>
      </c>
      <c r="Z117" s="151">
        <f>Z5+Z12+Z19+Z26+Z33</f>
        <v/>
      </c>
      <c r="AA117" s="151">
        <f>AA5+AA12+AA19+AA26+AA33</f>
        <v/>
      </c>
      <c r="AB117" s="151">
        <f>AB5+AB12+AB19+AB26+AB33</f>
        <v/>
      </c>
      <c r="AC117" s="151">
        <f>AC5+AC12+AC19+AC26+AC33</f>
        <v/>
      </c>
      <c r="AD117" s="151">
        <f>AD5+AD12+AD19+AD26+AD33</f>
        <v/>
      </c>
      <c r="AE117" s="151">
        <f>AE5+AE12+AE19+AE26+AE33</f>
        <v/>
      </c>
      <c r="AF117" s="151">
        <f>AF5+AF12+AF19+AF26+AF33</f>
        <v/>
      </c>
      <c r="AG117" s="151">
        <f>AG5+AG12+AG19+AG26+AG33</f>
        <v/>
      </c>
      <c r="AH117" s="151">
        <f>AH5+AH12+AH19+AH26+AH33</f>
        <v/>
      </c>
    </row>
    <row r="118" ht="15" customHeight="1" s="118">
      <c r="C118" s="142" t="inlineStr">
        <is>
          <t>Paid marketing clients</t>
        </is>
      </c>
      <c r="D118" s="151">
        <f>D8+D15+D22+D29+D36</f>
        <v/>
      </c>
      <c r="E118" s="151">
        <f>E8+E15+E22+E29+E36</f>
        <v/>
      </c>
      <c r="F118" s="151">
        <f>F8+F15+F22+F29+F36</f>
        <v/>
      </c>
      <c r="G118" s="151">
        <f>G8+G15+G22+G29+G36</f>
        <v/>
      </c>
      <c r="H118" s="151">
        <f>H8+H15+H22+H29+H36</f>
        <v/>
      </c>
      <c r="I118" s="151">
        <f>I8+I15+I22+I29+I36</f>
        <v/>
      </c>
      <c r="J118" s="151">
        <f>J8+J15+J22+J29+J36</f>
        <v/>
      </c>
      <c r="K118" s="151">
        <f>K8+K15+K22+K29+K36</f>
        <v/>
      </c>
      <c r="L118" s="151">
        <f>L8+L15+L22+L29+L36</f>
        <v/>
      </c>
      <c r="M118" s="151">
        <f>M8+M15+M22+M29+M36</f>
        <v/>
      </c>
      <c r="N118" s="151">
        <f>N8+N15+N22+N29+N36</f>
        <v/>
      </c>
      <c r="O118" s="151">
        <f>O8+O15+O22+O29+O36</f>
        <v/>
      </c>
      <c r="P118" s="151">
        <f>P8+P15+P22+P29+P36</f>
        <v/>
      </c>
      <c r="Q118" s="151">
        <f>Q8+Q15+Q22+Q29+Q36</f>
        <v/>
      </c>
      <c r="R118" s="151">
        <f>R8+R15+R22+R29+R36</f>
        <v/>
      </c>
      <c r="S118" s="151">
        <f>S8+S15+S22+S29+S36</f>
        <v/>
      </c>
      <c r="T118" s="151">
        <f>T8+T15+T22+T29+T36</f>
        <v/>
      </c>
      <c r="U118" s="151">
        <f>U8+U15+U22+U29+U36</f>
        <v/>
      </c>
      <c r="V118" s="151">
        <f>V8+V15+V22+V29+V36</f>
        <v/>
      </c>
      <c r="W118" s="151">
        <f>W8+W15+W22+W29+W36</f>
        <v/>
      </c>
      <c r="X118" s="151">
        <f>X8+X15+X22+X29+X36</f>
        <v/>
      </c>
      <c r="Y118" s="151">
        <f>Y8+Y15+Y22+Y29+Y36</f>
        <v/>
      </c>
      <c r="Z118" s="151">
        <f>Z8+Z15+Z22+Z29+Z36</f>
        <v/>
      </c>
      <c r="AA118" s="151">
        <f>AA8+AA15+AA22+AA29+AA36</f>
        <v/>
      </c>
      <c r="AB118" s="151">
        <f>AB8+AB15+AB22+AB29+AB36</f>
        <v/>
      </c>
      <c r="AC118" s="151">
        <f>AC8+AC15+AC22+AC29+AC36</f>
        <v/>
      </c>
      <c r="AD118" s="151">
        <f>AD8+AD15+AD22+AD29+AD36</f>
        <v/>
      </c>
      <c r="AE118" s="151">
        <f>AE8+AE15+AE22+AE29+AE36</f>
        <v/>
      </c>
      <c r="AF118" s="151">
        <f>AF8+AF15+AF22+AF29+AF36</f>
        <v/>
      </c>
      <c r="AG118" s="151">
        <f>AG8+AG15+AG22+AG29+AG36</f>
        <v/>
      </c>
      <c r="AH118" s="151">
        <f>AH8+AH15+AH22+AH29+AH36</f>
        <v/>
      </c>
    </row>
    <row r="119" ht="15" customHeight="1" s="118">
      <c r="C119" s="142" t="inlineStr">
        <is>
          <t>Paid marketing CAC (kr.)</t>
        </is>
      </c>
      <c r="D119" s="151">
        <f>IFERROR(D117/D118,0)</f>
        <v/>
      </c>
      <c r="E119" s="151">
        <f>IFERROR(E117/E118,0)</f>
        <v/>
      </c>
      <c r="F119" s="151">
        <f>IFERROR(F117/F118,0)</f>
        <v/>
      </c>
      <c r="G119" s="151">
        <f>IFERROR(G117/G118,0)</f>
        <v/>
      </c>
      <c r="H119" s="151">
        <f>IFERROR(H117/H118,0)</f>
        <v/>
      </c>
      <c r="I119" s="151">
        <f>IFERROR(I117/I118,0)</f>
        <v/>
      </c>
      <c r="J119" s="151">
        <f>IFERROR(J117/J118,0)</f>
        <v/>
      </c>
      <c r="K119" s="151">
        <f>IFERROR(K117/K118,0)</f>
        <v/>
      </c>
      <c r="L119" s="151">
        <f>IFERROR(L117/L118,0)</f>
        <v/>
      </c>
      <c r="M119" s="151">
        <f>IFERROR(M117/M118,0)</f>
        <v/>
      </c>
      <c r="N119" s="151">
        <f>IFERROR(N117/N118,0)</f>
        <v/>
      </c>
      <c r="O119" s="151">
        <f>IFERROR(O117/O118,0)</f>
        <v/>
      </c>
      <c r="P119" s="151">
        <f>IFERROR(P117/P118,0)</f>
        <v/>
      </c>
      <c r="Q119" s="151">
        <f>IFERROR(Q117/Q118,0)</f>
        <v/>
      </c>
      <c r="R119" s="151">
        <f>IFERROR(R117/R118,0)</f>
        <v/>
      </c>
      <c r="S119" s="151">
        <f>IFERROR(S117/S118,0)</f>
        <v/>
      </c>
      <c r="T119" s="151">
        <f>IFERROR(T117/T118,0)</f>
        <v/>
      </c>
      <c r="U119" s="151">
        <f>IFERROR(U117/U118,0)</f>
        <v/>
      </c>
      <c r="V119" s="151">
        <f>IFERROR(V117/V118,0)</f>
        <v/>
      </c>
      <c r="W119" s="151">
        <f>IFERROR(W117/W118,0)</f>
        <v/>
      </c>
      <c r="X119" s="151">
        <f>IFERROR(X117/X118,0)</f>
        <v/>
      </c>
      <c r="Y119" s="151">
        <f>IFERROR(Y117/Y118,0)</f>
        <v/>
      </c>
      <c r="Z119" s="151">
        <f>IFERROR(Z117/Z118,0)</f>
        <v/>
      </c>
      <c r="AA119" s="151">
        <f>IFERROR(AA117/AA118,0)</f>
        <v/>
      </c>
      <c r="AB119" s="151">
        <f>IFERROR(AB117/AB118,0)</f>
        <v/>
      </c>
      <c r="AC119" s="151">
        <f>IFERROR(AC117/AC118,0)</f>
        <v/>
      </c>
      <c r="AD119" s="151">
        <f>IFERROR(AD117/AD118,0)</f>
        <v/>
      </c>
      <c r="AE119" s="151">
        <f>IFERROR(AE117/AE118,0)</f>
        <v/>
      </c>
      <c r="AF119" s="151">
        <f>IFERROR(AF117/AF118,0)</f>
        <v/>
      </c>
      <c r="AG119" s="151">
        <f>IFERROR(AG117/AG118,0)</f>
        <v/>
      </c>
      <c r="AH119" s="151">
        <f>IFERROR(AH117/AH118,0)</f>
        <v/>
      </c>
    </row>
    <row r="120" ht="15" customHeight="1" s="118">
      <c r="C120" s="142" t="inlineStr">
        <is>
          <t>Partnerships spend (kr.)</t>
        </is>
      </c>
      <c r="D120" s="151">
        <f>D41+D48</f>
        <v/>
      </c>
      <c r="E120" s="151">
        <f>E41+E48</f>
        <v/>
      </c>
      <c r="F120" s="151">
        <f>F41+F48</f>
        <v/>
      </c>
      <c r="G120" s="151">
        <f>G41+G48</f>
        <v/>
      </c>
      <c r="H120" s="151">
        <f>H41+H48</f>
        <v/>
      </c>
      <c r="I120" s="151">
        <f>I41+I48</f>
        <v/>
      </c>
      <c r="J120" s="151">
        <f>J41+J48</f>
        <v/>
      </c>
      <c r="K120" s="151">
        <f>K41+K48</f>
        <v/>
      </c>
      <c r="L120" s="151">
        <f>L41+L48</f>
        <v/>
      </c>
      <c r="M120" s="151">
        <f>M41+M48</f>
        <v/>
      </c>
      <c r="N120" s="151">
        <f>N41+N48</f>
        <v/>
      </c>
      <c r="O120" s="151">
        <f>O41+O48</f>
        <v/>
      </c>
      <c r="P120" s="151">
        <f>P41+P48</f>
        <v/>
      </c>
      <c r="Q120" s="151">
        <f>Q41+Q48</f>
        <v/>
      </c>
      <c r="R120" s="151">
        <f>R41+R48</f>
        <v/>
      </c>
      <c r="S120" s="151">
        <f>S41+S48</f>
        <v/>
      </c>
      <c r="T120" s="151">
        <f>T41+T48</f>
        <v/>
      </c>
      <c r="U120" s="151">
        <f>U41+U48</f>
        <v/>
      </c>
      <c r="V120" s="151">
        <f>V41+V48</f>
        <v/>
      </c>
      <c r="W120" s="151">
        <f>W41+W48</f>
        <v/>
      </c>
      <c r="X120" s="151">
        <f>X41+X48</f>
        <v/>
      </c>
      <c r="Y120" s="151">
        <f>Y41+Y48</f>
        <v/>
      </c>
      <c r="Z120" s="151">
        <f>Z41+Z48</f>
        <v/>
      </c>
      <c r="AA120" s="151">
        <f>AA41+AA48</f>
        <v/>
      </c>
      <c r="AB120" s="151">
        <f>AB41+AB48</f>
        <v/>
      </c>
      <c r="AC120" s="151">
        <f>AC41+AC48</f>
        <v/>
      </c>
      <c r="AD120" s="151">
        <f>AD41+AD48</f>
        <v/>
      </c>
      <c r="AE120" s="151">
        <f>AE41+AE48</f>
        <v/>
      </c>
      <c r="AF120" s="151">
        <f>AF41+AF48</f>
        <v/>
      </c>
      <c r="AG120" s="151">
        <f>AG41+AG48</f>
        <v/>
      </c>
      <c r="AH120" s="151">
        <f>AH41+AH48</f>
        <v/>
      </c>
    </row>
    <row r="121" ht="15" customHeight="1" s="118">
      <c r="C121" s="142" t="inlineStr">
        <is>
          <t>Partnerships clients</t>
        </is>
      </c>
      <c r="D121" s="151">
        <f>D44+D51</f>
        <v/>
      </c>
      <c r="E121" s="151">
        <f>E44+E51</f>
        <v/>
      </c>
      <c r="F121" s="151">
        <f>F44+F51</f>
        <v/>
      </c>
      <c r="G121" s="151">
        <f>G44+G51</f>
        <v/>
      </c>
      <c r="H121" s="151">
        <f>H44+H51</f>
        <v/>
      </c>
      <c r="I121" s="151">
        <f>I44+I51</f>
        <v/>
      </c>
      <c r="J121" s="151">
        <f>J44+J51</f>
        <v/>
      </c>
      <c r="K121" s="151">
        <f>K44+K51</f>
        <v/>
      </c>
      <c r="L121" s="151">
        <f>L44+L51</f>
        <v/>
      </c>
      <c r="M121" s="151">
        <f>M44+M51</f>
        <v/>
      </c>
      <c r="N121" s="151">
        <f>N44+N51</f>
        <v/>
      </c>
      <c r="O121" s="151">
        <f>O44+O51</f>
        <v/>
      </c>
      <c r="P121" s="151">
        <f>P44+P51</f>
        <v/>
      </c>
      <c r="Q121" s="151">
        <f>Q44+Q51</f>
        <v/>
      </c>
      <c r="R121" s="151">
        <f>R44+R51</f>
        <v/>
      </c>
      <c r="S121" s="151">
        <f>S44+S51</f>
        <v/>
      </c>
      <c r="T121" s="151">
        <f>T44+T51</f>
        <v/>
      </c>
      <c r="U121" s="151">
        <f>U44+U51</f>
        <v/>
      </c>
      <c r="V121" s="151">
        <f>V44+V51</f>
        <v/>
      </c>
      <c r="W121" s="151">
        <f>W44+W51</f>
        <v/>
      </c>
      <c r="X121" s="151">
        <f>X44+X51</f>
        <v/>
      </c>
      <c r="Y121" s="151">
        <f>Y44+Y51</f>
        <v/>
      </c>
      <c r="Z121" s="151">
        <f>Z44+Z51</f>
        <v/>
      </c>
      <c r="AA121" s="151">
        <f>AA44+AA51</f>
        <v/>
      </c>
      <c r="AB121" s="151">
        <f>AB44+AB51</f>
        <v/>
      </c>
      <c r="AC121" s="151">
        <f>AC44+AC51</f>
        <v/>
      </c>
      <c r="AD121" s="151">
        <f>AD44+AD51</f>
        <v/>
      </c>
      <c r="AE121" s="151">
        <f>AE44+AE51</f>
        <v/>
      </c>
      <c r="AF121" s="151">
        <f>AF44+AF51</f>
        <v/>
      </c>
      <c r="AG121" s="151">
        <f>AG44+AG51</f>
        <v/>
      </c>
      <c r="AH121" s="151">
        <f>AH44+AH51</f>
        <v/>
      </c>
    </row>
    <row r="122" ht="15" customHeight="1" s="118">
      <c r="C122" s="142" t="inlineStr">
        <is>
          <t>Partnerships CAC (kr.)</t>
        </is>
      </c>
      <c r="D122" s="151">
        <f>IFERROR(D120/D121,0)</f>
        <v/>
      </c>
      <c r="E122" s="151">
        <f>IFERROR(E120/E121,0)</f>
        <v/>
      </c>
      <c r="F122" s="151">
        <f>IFERROR(F120/F121,0)</f>
        <v/>
      </c>
      <c r="G122" s="151">
        <f>IFERROR(G120/G121,0)</f>
        <v/>
      </c>
      <c r="H122" s="151">
        <f>IFERROR(H120/H121,0)</f>
        <v/>
      </c>
      <c r="I122" s="151">
        <f>IFERROR(I120/I121,0)</f>
        <v/>
      </c>
      <c r="J122" s="151">
        <f>IFERROR(J120/J121,0)</f>
        <v/>
      </c>
      <c r="K122" s="151">
        <f>IFERROR(K120/K121,0)</f>
        <v/>
      </c>
      <c r="L122" s="151">
        <f>IFERROR(L120/L121,0)</f>
        <v/>
      </c>
      <c r="M122" s="151">
        <f>IFERROR(M120/M121,0)</f>
        <v/>
      </c>
      <c r="N122" s="151">
        <f>IFERROR(N120/N121,0)</f>
        <v/>
      </c>
      <c r="O122" s="151">
        <f>IFERROR(O120/O121,0)</f>
        <v/>
      </c>
      <c r="P122" s="151">
        <f>IFERROR(P120/P121,0)</f>
        <v/>
      </c>
      <c r="Q122" s="151">
        <f>IFERROR(Q120/Q121,0)</f>
        <v/>
      </c>
      <c r="R122" s="151">
        <f>IFERROR(R120/R121,0)</f>
        <v/>
      </c>
      <c r="S122" s="151">
        <f>IFERROR(S120/S121,0)</f>
        <v/>
      </c>
      <c r="T122" s="151">
        <f>IFERROR(T120/T121,0)</f>
        <v/>
      </c>
      <c r="U122" s="151">
        <f>IFERROR(U120/U121,0)</f>
        <v/>
      </c>
      <c r="V122" s="151">
        <f>IFERROR(V120/V121,0)</f>
        <v/>
      </c>
      <c r="W122" s="151">
        <f>IFERROR(W120/W121,0)</f>
        <v/>
      </c>
      <c r="X122" s="151">
        <f>IFERROR(X120/X121,0)</f>
        <v/>
      </c>
      <c r="Y122" s="151">
        <f>IFERROR(Y120/Y121,0)</f>
        <v/>
      </c>
      <c r="Z122" s="151">
        <f>IFERROR(Z120/Z121,0)</f>
        <v/>
      </c>
      <c r="AA122" s="151">
        <f>IFERROR(AA120/AA121,0)</f>
        <v/>
      </c>
      <c r="AB122" s="151">
        <f>IFERROR(AB120/AB121,0)</f>
        <v/>
      </c>
      <c r="AC122" s="151">
        <f>IFERROR(AC120/AC121,0)</f>
        <v/>
      </c>
      <c r="AD122" s="151">
        <f>IFERROR(AD120/AD121,0)</f>
        <v/>
      </c>
      <c r="AE122" s="151">
        <f>IFERROR(AE120/AE121,0)</f>
        <v/>
      </c>
      <c r="AF122" s="151">
        <f>IFERROR(AF120/AF121,0)</f>
        <v/>
      </c>
      <c r="AG122" s="151">
        <f>IFERROR(AG120/AG121,0)</f>
        <v/>
      </c>
      <c r="AH122" s="151">
        <f>IFERROR(AH120/AH121,0)</f>
        <v/>
      </c>
    </row>
    <row r="123" ht="15" customHeight="1" s="118">
      <c r="C123" s="142" t="inlineStr">
        <is>
          <t>Growth initiatives spend (kr.)</t>
        </is>
      </c>
      <c r="D123" s="151">
        <f>D71+D78</f>
        <v/>
      </c>
      <c r="E123" s="151">
        <f>E71+E78</f>
        <v/>
      </c>
      <c r="F123" s="151">
        <f>F71+F78</f>
        <v/>
      </c>
      <c r="G123" s="151">
        <f>G71+G78</f>
        <v/>
      </c>
      <c r="H123" s="151">
        <f>H71+H78</f>
        <v/>
      </c>
      <c r="I123" s="151">
        <f>I71+I78</f>
        <v/>
      </c>
      <c r="J123" s="151">
        <f>J71+J78</f>
        <v/>
      </c>
      <c r="K123" s="151">
        <f>K71+K78</f>
        <v/>
      </c>
      <c r="L123" s="151">
        <f>L71+L78</f>
        <v/>
      </c>
      <c r="M123" s="151">
        <f>M71+M78</f>
        <v/>
      </c>
      <c r="N123" s="151">
        <f>N71+N78</f>
        <v/>
      </c>
      <c r="O123" s="151">
        <f>O71+O78</f>
        <v/>
      </c>
      <c r="P123" s="151">
        <f>P71+P78</f>
        <v/>
      </c>
      <c r="Q123" s="151">
        <f>Q71+Q78</f>
        <v/>
      </c>
      <c r="R123" s="151">
        <f>R71+R78</f>
        <v/>
      </c>
      <c r="S123" s="151">
        <f>S71+S78</f>
        <v/>
      </c>
      <c r="T123" s="151">
        <f>T71+T78</f>
        <v/>
      </c>
      <c r="U123" s="151">
        <f>U71+U78</f>
        <v/>
      </c>
      <c r="V123" s="151">
        <f>V71+V78</f>
        <v/>
      </c>
      <c r="W123" s="151">
        <f>W71+W78</f>
        <v/>
      </c>
      <c r="X123" s="151">
        <f>X71+X78</f>
        <v/>
      </c>
      <c r="Y123" s="151">
        <f>Y71+Y78</f>
        <v/>
      </c>
      <c r="Z123" s="151">
        <f>Z71+Z78</f>
        <v/>
      </c>
      <c r="AA123" s="151">
        <f>AA71+AA78</f>
        <v/>
      </c>
      <c r="AB123" s="151">
        <f>AB71+AB78</f>
        <v/>
      </c>
      <c r="AC123" s="151">
        <f>AC71+AC78</f>
        <v/>
      </c>
      <c r="AD123" s="151">
        <f>AD71+AD78</f>
        <v/>
      </c>
      <c r="AE123" s="151">
        <f>AE71+AE78</f>
        <v/>
      </c>
      <c r="AF123" s="151">
        <f>AF71+AF78</f>
        <v/>
      </c>
      <c r="AG123" s="151">
        <f>AG71+AG78</f>
        <v/>
      </c>
      <c r="AH123" s="151">
        <f>AH71+AH78</f>
        <v/>
      </c>
    </row>
    <row r="124" ht="15" customHeight="1" s="118">
      <c r="C124" s="142" t="inlineStr">
        <is>
          <t>Growth initiatives clients</t>
        </is>
      </c>
      <c r="D124" s="151">
        <f>D74+D81</f>
        <v/>
      </c>
      <c r="E124" s="151">
        <f>E74+E81</f>
        <v/>
      </c>
      <c r="F124" s="151">
        <f>F74+F81</f>
        <v/>
      </c>
      <c r="G124" s="151">
        <f>G74+G81</f>
        <v/>
      </c>
      <c r="H124" s="151">
        <f>H74+H81</f>
        <v/>
      </c>
      <c r="I124" s="151">
        <f>I74+I81</f>
        <v/>
      </c>
      <c r="J124" s="151">
        <f>J74+J81</f>
        <v/>
      </c>
      <c r="K124" s="151">
        <f>K74+K81</f>
        <v/>
      </c>
      <c r="L124" s="151">
        <f>L74+L81</f>
        <v/>
      </c>
      <c r="M124" s="151">
        <f>M74+M81</f>
        <v/>
      </c>
      <c r="N124" s="151">
        <f>N74+N81</f>
        <v/>
      </c>
      <c r="O124" s="151">
        <f>O74+O81</f>
        <v/>
      </c>
      <c r="P124" s="151">
        <f>P74+P81</f>
        <v/>
      </c>
      <c r="Q124" s="151">
        <f>Q74+Q81</f>
        <v/>
      </c>
      <c r="R124" s="151">
        <f>R74+R81</f>
        <v/>
      </c>
      <c r="S124" s="151">
        <f>S74+S81</f>
        <v/>
      </c>
      <c r="T124" s="151">
        <f>T74+T81</f>
        <v/>
      </c>
      <c r="U124" s="151">
        <f>U74+U81</f>
        <v/>
      </c>
      <c r="V124" s="151">
        <f>V74+V81</f>
        <v/>
      </c>
      <c r="W124" s="151">
        <f>W74+W81</f>
        <v/>
      </c>
      <c r="X124" s="151">
        <f>X74+X81</f>
        <v/>
      </c>
      <c r="Y124" s="151">
        <f>Y74+Y81</f>
        <v/>
      </c>
      <c r="Z124" s="151">
        <f>Z74+Z81</f>
        <v/>
      </c>
      <c r="AA124" s="151">
        <f>AA74+AA81</f>
        <v/>
      </c>
      <c r="AB124" s="151">
        <f>AB74+AB81</f>
        <v/>
      </c>
      <c r="AC124" s="151">
        <f>AC74+AC81</f>
        <v/>
      </c>
      <c r="AD124" s="151">
        <f>AD74+AD81</f>
        <v/>
      </c>
      <c r="AE124" s="151">
        <f>AE74+AE81</f>
        <v/>
      </c>
      <c r="AF124" s="151">
        <f>AF74+AF81</f>
        <v/>
      </c>
      <c r="AG124" s="151">
        <f>AG74+AG81</f>
        <v/>
      </c>
      <c r="AH124" s="151">
        <f>AH74+AH81</f>
        <v/>
      </c>
    </row>
    <row r="125" ht="15" customHeight="1" s="118">
      <c r="C125" s="142" t="inlineStr">
        <is>
          <t>Growth initiatives CAC (kr.)</t>
        </is>
      </c>
      <c r="D125" s="151">
        <f>IFERROR(D123/D124,0)</f>
        <v/>
      </c>
      <c r="E125" s="151">
        <f>IFERROR(E123/E124,0)</f>
        <v/>
      </c>
      <c r="F125" s="151">
        <f>IFERROR(F123/F124,0)</f>
        <v/>
      </c>
      <c r="G125" s="151">
        <f>IFERROR(G123/G124,0)</f>
        <v/>
      </c>
      <c r="H125" s="151">
        <f>IFERROR(H123/H124,0)</f>
        <v/>
      </c>
      <c r="I125" s="151">
        <f>IFERROR(I123/I124,0)</f>
        <v/>
      </c>
      <c r="J125" s="151">
        <f>IFERROR(J123/J124,0)</f>
        <v/>
      </c>
      <c r="K125" s="151">
        <f>IFERROR(K123/K124,0)</f>
        <v/>
      </c>
      <c r="L125" s="151">
        <f>IFERROR(L123/L124,0)</f>
        <v/>
      </c>
      <c r="M125" s="151">
        <f>IFERROR(M123/M124,0)</f>
        <v/>
      </c>
      <c r="N125" s="151">
        <f>IFERROR(N123/N124,0)</f>
        <v/>
      </c>
      <c r="O125" s="151">
        <f>IFERROR(O123/O124,0)</f>
        <v/>
      </c>
      <c r="P125" s="151">
        <f>IFERROR(P123/P124,0)</f>
        <v/>
      </c>
      <c r="Q125" s="151">
        <f>IFERROR(Q123/Q124,0)</f>
        <v/>
      </c>
      <c r="R125" s="151">
        <f>IFERROR(R123/R124,0)</f>
        <v/>
      </c>
      <c r="S125" s="151">
        <f>IFERROR(S123/S124,0)</f>
        <v/>
      </c>
      <c r="T125" s="151">
        <f>IFERROR(T123/T124,0)</f>
        <v/>
      </c>
      <c r="U125" s="151">
        <f>IFERROR(U123/U124,0)</f>
        <v/>
      </c>
      <c r="V125" s="151">
        <f>IFERROR(V123/V124,0)</f>
        <v/>
      </c>
      <c r="W125" s="151">
        <f>IFERROR(W123/W124,0)</f>
        <v/>
      </c>
      <c r="X125" s="151">
        <f>IFERROR(X123/X124,0)</f>
        <v/>
      </c>
      <c r="Y125" s="151">
        <f>IFERROR(Y123/Y124,0)</f>
        <v/>
      </c>
      <c r="Z125" s="151">
        <f>IFERROR(Z123/Z124,0)</f>
        <v/>
      </c>
      <c r="AA125" s="151">
        <f>IFERROR(AA123/AA124,0)</f>
        <v/>
      </c>
      <c r="AB125" s="151">
        <f>IFERROR(AB123/AB124,0)</f>
        <v/>
      </c>
      <c r="AC125" s="151">
        <f>IFERROR(AC123/AC124,0)</f>
        <v/>
      </c>
      <c r="AD125" s="151">
        <f>IFERROR(AD123/AD124,0)</f>
        <v/>
      </c>
      <c r="AE125" s="151">
        <f>IFERROR(AE123/AE124,0)</f>
        <v/>
      </c>
      <c r="AF125" s="151">
        <f>IFERROR(AF123/AF124,0)</f>
        <v/>
      </c>
      <c r="AG125" s="151">
        <f>IFERROR(AG123/AG124,0)</f>
        <v/>
      </c>
      <c r="AH125" s="151">
        <f>IFERROR(AH123/AH124,0)</f>
        <v/>
      </c>
    </row>
    <row r="127" ht="15" customHeight="1" s="118">
      <c r="C127" s="153" t="inlineStr">
        <is>
          <t>(Indsæt månedlige facit-tal fra CRM og Space her — rapporten bruger dem automatisk)</t>
        </is>
      </c>
    </row>
    <row r="128" ht="15" customHeight="1" s="118">
      <c r="B128" s="150" t="inlineStr">
        <is>
          <t>▪ MANUELLE OVERRIDES (CMO udfylder)</t>
        </is>
      </c>
    </row>
    <row r="129" ht="15" customHeight="1" s="118">
      <c r="B129" s="117" t="inlineStr">
        <is>
          <t>CRM facit</t>
        </is>
      </c>
      <c r="C129" s="142" t="inlineStr">
        <is>
          <t>Total signups (alle, inkl. non-marketing)</t>
        </is>
      </c>
      <c r="D129" s="149" t="n">
        <v>424</v>
      </c>
      <c r="E129" s="149" t="n">
        <v>1192</v>
      </c>
      <c r="F129" s="149" t="n">
        <v>782</v>
      </c>
      <c r="G129" s="149" t="n">
        <v>632</v>
      </c>
      <c r="H129" s="149" t="n">
        <v>1115</v>
      </c>
      <c r="I129" s="149" t="n">
        <v>604</v>
      </c>
      <c r="J129" s="149" t="n">
        <v>600</v>
      </c>
      <c r="K129" s="149" t="n">
        <v>457</v>
      </c>
      <c r="L129" s="149" t="n">
        <v>603</v>
      </c>
      <c r="M129" s="149" t="n">
        <v>654</v>
      </c>
      <c r="N129" s="149" t="n">
        <v>558</v>
      </c>
      <c r="O129" s="149" t="n">
        <v>577</v>
      </c>
      <c r="P129" s="149" t="n">
        <v>548</v>
      </c>
      <c r="Q129" s="149" t="n">
        <v>598</v>
      </c>
      <c r="R129" s="149" t="n">
        <v>920</v>
      </c>
      <c r="S129" s="149" t="n">
        <v>760</v>
      </c>
      <c r="T129" s="149" t="n">
        <v>1178</v>
      </c>
      <c r="U129" s="149" t="n">
        <v>1300</v>
      </c>
      <c r="V129" s="149" t="n">
        <v>1286</v>
      </c>
      <c r="W129" s="149" t="n">
        <v>1144</v>
      </c>
      <c r="X129" s="149" t="n">
        <v>1035</v>
      </c>
      <c r="Y129" s="149" t="n">
        <v>984</v>
      </c>
      <c r="Z129" s="149" t="n">
        <v>1461</v>
      </c>
      <c r="AA129" s="149" t="n">
        <v>1250</v>
      </c>
      <c r="AB129" s="149" t="n"/>
      <c r="AC129" s="149" t="n"/>
      <c r="AD129" s="149" t="n"/>
      <c r="AE129" s="149" t="n"/>
      <c r="AF129" s="149" t="n"/>
      <c r="AG129" s="149" t="n"/>
      <c r="AH129" s="149" t="n"/>
    </row>
    <row r="130" ht="15" customHeight="1" s="118">
      <c r="C130" s="142" t="inlineStr">
        <is>
          <t>Space timer brugt (denne måned)</t>
        </is>
      </c>
      <c r="D130" s="149" t="n"/>
      <c r="E130" s="149" t="n"/>
      <c r="F130" s="149" t="n"/>
      <c r="G130" s="149" t="n"/>
      <c r="H130" s="149" t="n"/>
      <c r="I130" s="149" t="n"/>
      <c r="J130" s="149" t="n"/>
      <c r="K130" s="149" t="n"/>
      <c r="L130" s="149" t="n"/>
      <c r="M130" s="149" t="n"/>
      <c r="N130" s="149" t="n"/>
      <c r="O130" s="149" t="n"/>
      <c r="P130" s="149" t="n"/>
      <c r="Q130" s="149" t="n"/>
      <c r="R130" s="149" t="n"/>
      <c r="S130" s="149" t="n"/>
      <c r="T130" s="149" t="n"/>
      <c r="U130" s="149" t="n"/>
      <c r="V130" s="149" t="n"/>
      <c r="W130" s="149" t="n">
        <v>10</v>
      </c>
      <c r="X130" s="149" t="n">
        <v>9.33</v>
      </c>
      <c r="Y130" s="149" t="n">
        <v>15</v>
      </c>
      <c r="Z130" s="149" t="n">
        <v>3</v>
      </c>
      <c r="AA130" s="149" t="n">
        <v>8</v>
      </c>
      <c r="AB130" s="149" t="n"/>
      <c r="AC130" s="149" t="n"/>
      <c r="AD130" s="149" t="n"/>
      <c r="AE130" s="149" t="n"/>
      <c r="AF130" s="149" t="n"/>
      <c r="AG130" s="149" t="n"/>
      <c r="AH130" s="149" t="n"/>
    </row>
    <row r="131" ht="15" customHeight="1" s="118">
      <c r="C131" s="142" t="inlineStr">
        <is>
          <t>Space timer brugt (akkumuleret total)</t>
        </is>
      </c>
      <c r="V131" s="149" t="n">
        <v>573</v>
      </c>
      <c r="W131" s="149" t="n">
        <v>583</v>
      </c>
      <c r="X131" s="149" t="n">
        <v>592.33</v>
      </c>
      <c r="Y131" s="149" t="n">
        <v>607.33</v>
      </c>
      <c r="Z131" s="149" t="n">
        <v>610.33</v>
      </c>
      <c r="AA131" s="149" t="n">
        <v>618.33</v>
      </c>
      <c r="AB131" s="149" t="n"/>
      <c r="AC131" s="149" t="n"/>
      <c r="AD131" s="149" t="n"/>
      <c r="AE131" s="149" t="n"/>
      <c r="AF131" s="149" t="n"/>
      <c r="AG131" s="149" t="n"/>
      <c r="AH131" s="149" t="n"/>
    </row>
    <row r="132" ht="15" customHeight="1" s="118">
      <c r="C132" s="142" t="inlineStr">
        <is>
          <t>Aktive kunder (slut af måned)</t>
        </is>
      </c>
      <c r="D132" s="149" t="n"/>
      <c r="E132" s="149" t="n"/>
      <c r="F132" s="149" t="n"/>
      <c r="G132" s="149" t="n"/>
      <c r="H132" s="149" t="n">
        <v>4708</v>
      </c>
      <c r="I132" s="149" t="n">
        <v>5518</v>
      </c>
      <c r="J132" s="149" t="n">
        <v>5990</v>
      </c>
      <c r="K132" s="149" t="n">
        <v>6422</v>
      </c>
      <c r="L132" s="149" t="n">
        <v>6737</v>
      </c>
      <c r="M132" s="149" t="n">
        <v>7008</v>
      </c>
      <c r="N132" s="149" t="n">
        <v>7498</v>
      </c>
      <c r="O132" s="149" t="n">
        <v>7802</v>
      </c>
      <c r="P132" s="149" t="n">
        <v>8178</v>
      </c>
      <c r="Q132" s="149" t="n">
        <v>8411</v>
      </c>
      <c r="R132" s="149" t="n">
        <v>8728</v>
      </c>
      <c r="S132" s="149" t="n">
        <v>9100</v>
      </c>
      <c r="T132" s="149" t="n">
        <v>9650</v>
      </c>
      <c r="U132" s="149" t="n">
        <v>10389</v>
      </c>
      <c r="V132" s="149" t="n">
        <v>11290</v>
      </c>
      <c r="W132" s="149" t="n">
        <v>11998</v>
      </c>
      <c r="X132" s="149" t="n">
        <v>12736</v>
      </c>
      <c r="Y132" s="149" t="n">
        <v>13318</v>
      </c>
      <c r="Z132" s="149" t="n">
        <v>13970</v>
      </c>
      <c r="AA132" s="149" t="n">
        <v>14748</v>
      </c>
      <c r="AB132" s="149" t="n"/>
      <c r="AC132" s="149" t="n"/>
      <c r="AD132" s="149" t="n"/>
      <c r="AE132" s="149" t="n"/>
      <c r="AF132" s="149" t="n"/>
      <c r="AG132" s="149" t="n"/>
      <c r="AH132" s="149" t="n"/>
    </row>
    <row r="133" ht="15" customHeight="1" s="118">
      <c r="C133" s="142" t="inlineStr">
        <is>
          <t>Kundechurn M/M (%)</t>
        </is>
      </c>
      <c r="D133" s="154" t="n"/>
      <c r="E133" s="154" t="n"/>
      <c r="F133" s="154" t="n"/>
      <c r="G133" s="154" t="n"/>
      <c r="H133" s="154" t="n">
        <v>0.0177</v>
      </c>
      <c r="I133" s="154" t="n">
        <v>0.0174</v>
      </c>
      <c r="J133" s="154" t="n">
        <v>0.0161</v>
      </c>
      <c r="K133" s="154" t="n">
        <v>0.0157</v>
      </c>
      <c r="L133" s="154" t="n">
        <v>0.0178</v>
      </c>
      <c r="M133" s="154" t="n">
        <v>0.0183</v>
      </c>
      <c r="N133" s="154" t="n">
        <v>0.0171</v>
      </c>
      <c r="O133" s="154" t="n">
        <v>0.0164</v>
      </c>
      <c r="P133" s="154" t="n">
        <v>0.016</v>
      </c>
      <c r="Q133" s="154" t="n">
        <v>0.0188</v>
      </c>
      <c r="R133" s="154" t="n">
        <v>0.0183</v>
      </c>
      <c r="S133" s="154" t="n">
        <v>0.0233</v>
      </c>
      <c r="T133" s="154" t="n">
        <v>0.0203</v>
      </c>
      <c r="U133" s="154" t="n">
        <v>0.018</v>
      </c>
      <c r="V133" s="154" t="n">
        <v>0.0168</v>
      </c>
      <c r="W133" s="154" t="n">
        <v>0.022</v>
      </c>
      <c r="X133" s="154" t="n">
        <v>0.026</v>
      </c>
      <c r="Y133" s="154" t="n">
        <v>0.022</v>
      </c>
      <c r="Z133" s="154" t="n">
        <v>0.022</v>
      </c>
      <c r="AA133" s="154" t="n">
        <v>0.025</v>
      </c>
      <c r="AB133" s="154" t="n"/>
      <c r="AC133" s="154" t="n"/>
      <c r="AD133" s="154" t="n"/>
      <c r="AE133" s="154" t="n"/>
      <c r="AF133" s="154" t="n"/>
      <c r="AG133" s="154" t="n"/>
      <c r="AH133" s="154" t="n"/>
    </row>
    <row r="134" ht="15" customHeight="1" s="118">
      <c r="C134" s="117" t="inlineStr">
        <is>
          <t>Liq. Cost total (regnskab, kr.) — CFO udfylder</t>
        </is>
      </c>
      <c r="D134" s="117" t="n">
        <v>108122</v>
      </c>
      <c r="E134" s="117" t="n">
        <v>105134</v>
      </c>
      <c r="F134" s="117" t="n">
        <v>147457</v>
      </c>
      <c r="G134" s="117" t="n">
        <v>147666</v>
      </c>
      <c r="H134" s="117" t="n">
        <v>664109</v>
      </c>
      <c r="I134" s="117" t="n">
        <v>161007</v>
      </c>
      <c r="J134" s="117" t="n">
        <v>143874</v>
      </c>
      <c r="K134" s="117" t="n">
        <v>103972</v>
      </c>
      <c r="L134" s="117" t="n">
        <v>125900</v>
      </c>
      <c r="M134" s="117" t="n">
        <v>202626</v>
      </c>
      <c r="N134" s="117" t="n">
        <v>123372</v>
      </c>
      <c r="O134" s="117" t="n">
        <v>111033</v>
      </c>
      <c r="P134" s="117" t="n">
        <v>255948</v>
      </c>
      <c r="Q134" s="117" t="n">
        <v>505463</v>
      </c>
      <c r="R134" s="117" t="n">
        <v>292920</v>
      </c>
      <c r="S134" s="117" t="n">
        <v>168218</v>
      </c>
      <c r="T134" s="117" t="n">
        <v>233205</v>
      </c>
      <c r="U134" s="117" t="n">
        <v>241899</v>
      </c>
      <c r="V134" s="117" t="n">
        <v>355220</v>
      </c>
      <c r="W134" s="117" t="n">
        <v>323030</v>
      </c>
      <c r="X134" s="117" t="n">
        <v>313735</v>
      </c>
      <c r="Y134" s="117" t="n">
        <v>296714.7</v>
      </c>
      <c r="Z134" s="117" t="n">
        <v>394659.99</v>
      </c>
      <c r="AA134" t="n">
        <v>315652.77</v>
      </c>
    </row>
  </sheetData>
  <mergeCells count="9">
    <mergeCell ref="B2:W2"/>
    <mergeCell ref="B109:V109"/>
    <mergeCell ref="B55:V55"/>
    <mergeCell ref="B70:V70"/>
    <mergeCell ref="B103:V103"/>
    <mergeCell ref="B85:V85"/>
    <mergeCell ref="B93:V93"/>
    <mergeCell ref="B40:V40"/>
    <mergeCell ref="B4:V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B2:AG21"/>
  <sheetViews>
    <sheetView showFormulas="0" showGridLines="0" showRowColHeaders="1" showZeros="1" rightToLeft="0" tabSelected="0" showOutlineSymbols="1" defaultGridColor="1"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baseColWidth="8" defaultColWidth="8.66796875" defaultRowHeight="15" zeroHeight="0" outlineLevelRow="0"/>
  <cols>
    <col width="2" customWidth="1" style="117" min="1" max="1"/>
    <col width="32" customWidth="1" style="117" min="2" max="2"/>
    <col width="24" customWidth="1" style="117" min="3" max="21"/>
    <col width="13" customWidth="1" style="117" min="22" max="33"/>
  </cols>
  <sheetData>
    <row r="1" ht="7.5" customHeight="1" s="118"/>
    <row r="2" ht="25.5" customHeight="1" s="118">
      <c r="B2" s="155" t="inlineStr">
        <is>
          <t>KOMMENTARER — MÅNEDLIG NARRATIV</t>
        </is>
      </c>
    </row>
    <row r="3" ht="21.75" customHeight="1" s="118">
      <c r="B3" s="156" t="inlineStr">
        <is>
          <t>Felt</t>
        </is>
      </c>
      <c r="C3" s="157" t="n">
        <v>45565</v>
      </c>
      <c r="D3" s="157" t="n">
        <v>45596</v>
      </c>
      <c r="E3" s="157" t="n">
        <v>45626</v>
      </c>
      <c r="F3" s="157" t="n">
        <v>45657</v>
      </c>
      <c r="G3" s="157" t="n">
        <v>45688</v>
      </c>
      <c r="H3" s="157" t="n">
        <v>45716</v>
      </c>
      <c r="I3" s="157" t="n">
        <v>45747</v>
      </c>
      <c r="J3" s="157" t="n">
        <v>45777</v>
      </c>
      <c r="K3" s="157" t="n">
        <v>45808</v>
      </c>
      <c r="L3" s="157" t="n">
        <v>45838</v>
      </c>
      <c r="M3" s="157" t="n">
        <v>45869</v>
      </c>
      <c r="N3" s="157" t="n">
        <v>45900</v>
      </c>
      <c r="O3" s="157" t="n">
        <v>45930</v>
      </c>
      <c r="P3" s="157" t="n">
        <v>45961</v>
      </c>
      <c r="Q3" s="157" t="n">
        <v>45991</v>
      </c>
      <c r="R3" s="157" t="n">
        <v>46022</v>
      </c>
      <c r="S3" s="157" t="n">
        <v>46053</v>
      </c>
      <c r="T3" s="157" t="n">
        <v>46081</v>
      </c>
      <c r="U3" s="157" t="n">
        <v>46112</v>
      </c>
      <c r="V3" s="157" t="n">
        <v>46142</v>
      </c>
      <c r="W3" s="157" t="n">
        <v>46173</v>
      </c>
      <c r="X3" s="157" t="n">
        <v>46203</v>
      </c>
      <c r="Y3" s="157" t="n">
        <v>46234</v>
      </c>
      <c r="Z3" s="157" t="n">
        <v>46265</v>
      </c>
      <c r="AA3" s="157" t="n">
        <v>46295</v>
      </c>
      <c r="AB3" s="157" t="n">
        <v>46326</v>
      </c>
      <c r="AC3" s="157" t="n">
        <v>46356</v>
      </c>
      <c r="AD3" s="157" t="n">
        <v>46387</v>
      </c>
      <c r="AE3" s="157" t="n">
        <v>46418</v>
      </c>
      <c r="AF3" s="157" t="n">
        <v>46446</v>
      </c>
      <c r="AG3" s="157" t="n">
        <v>46477</v>
      </c>
    </row>
    <row r="4" ht="19.5" customHeight="1" s="118">
      <c r="B4" s="125" t="inlineStr">
        <is>
          <t>EXECUTIVE SUMMARY</t>
        </is>
      </c>
    </row>
    <row r="5" ht="48" customHeight="1" s="118">
      <c r="B5" s="158" t="inlineStr">
        <is>
          <t>Headline (1 sætning)</t>
        </is>
      </c>
      <c r="C5" s="159" t="n"/>
      <c r="D5" s="159" t="n"/>
      <c r="E5" s="159" t="n"/>
      <c r="F5" s="159" t="n"/>
      <c r="G5" s="159" t="n"/>
      <c r="H5" s="159" t="n"/>
      <c r="I5" s="159" t="n"/>
      <c r="J5" s="159" t="n"/>
      <c r="K5" s="159" t="n"/>
      <c r="L5" s="159" t="n"/>
      <c r="M5" s="159" t="n"/>
      <c r="N5" s="159" t="n"/>
      <c r="O5" s="159" t="n"/>
      <c r="P5" s="159" t="n"/>
      <c r="Q5" s="159" t="n"/>
      <c r="R5" s="159" t="n"/>
      <c r="S5" s="159" t="n"/>
      <c r="T5" s="159" t="n"/>
      <c r="U5" s="159" t="inlineStr">
        <is>
          <t>Marts 2026: 1.286 nye kunder trods dårligere TÆNK-placering — affiliate-mix effektiviserede CAC til 191 kr (3M) og Meta-CAC faldt til 356 kr.</t>
        </is>
      </c>
      <c r="V5" s="159" t="n"/>
      <c r="W5" s="159" t="n"/>
      <c r="X5" s="159" t="inlineStr">
        <is>
          <t>Konverteringen stiger for anden måned i træk, og churn normaliseres efter maj-toppen.</t>
        </is>
      </c>
      <c r="Y5" s="159" t="inlineStr">
        <is>
          <t>Juli sætter rekord: 1.461 signups og 10 pct. konvertering midt i lavsæsonen.</t>
        </is>
      </c>
      <c r="Z5" s="159" t="n"/>
      <c r="AA5" s="159" t="n"/>
      <c r="AB5" s="159" t="n"/>
      <c r="AC5" s="159" t="n"/>
      <c r="AD5" s="159" t="n"/>
      <c r="AE5" s="159" t="n"/>
      <c r="AF5" s="159" t="n"/>
      <c r="AG5" s="159" t="n"/>
    </row>
    <row r="6" ht="48" customHeight="1" s="118">
      <c r="B6" s="158" t="inlineStr">
        <is>
          <t>Hvad skete der (2-3 sætn.)</t>
        </is>
      </c>
      <c r="C6" s="159" t="n"/>
      <c r="D6" s="159" t="n"/>
      <c r="E6" s="159" t="n"/>
      <c r="F6" s="159" t="n"/>
      <c r="G6" s="159" t="n"/>
      <c r="H6" s="159" t="n"/>
      <c r="I6" s="159" t="n"/>
      <c r="J6" s="159" t="n"/>
      <c r="K6" s="159" t="n"/>
      <c r="L6" s="159" t="n"/>
      <c r="M6" s="159" t="n"/>
      <c r="N6" s="159" t="n"/>
      <c r="O6" s="159" t="n"/>
      <c r="P6" s="159" t="n"/>
      <c r="Q6" s="159" t="n"/>
      <c r="R6" s="159" t="n"/>
      <c r="S6" s="159" t="n"/>
      <c r="T6" s="159" t="n"/>
      <c r="U6" s="159" t="inlineStr">
        <is>
          <t>Vi mistede TÆNK-topplaceringen efter metodeændring, men stor affiliate-indsats og ny partner AdLab kompenserede. Regningstjek-funnelen leverede 80 sign-ups med CAC på 468 kr — over mål, men bæredygtigt for produktdrevet vækst. Partnership-timer (14,6 af 700 kontrakterede) forbliver på plan.</t>
        </is>
      </c>
      <c r="V6" s="159" t="n"/>
      <c r="W6" s="159" t="n"/>
      <c r="X6" s="159" t="inlineStr">
        <is>
          <t>Sign-ups landede på 984, et forventet sæsonfald fra maj (1.035), men konverteringen steg igen — blended CVR ramte 6,4% mod 5,8% i maj. Google leverede 74 kunder til en CAC på 133 kr. (kanalens næstbedste måned), og Brand search fastholdt det høje niveau med 446 kunder. Churn faldt tilbage fra 2,6% til 2,2%, og vi rundede 13.318 aktive kunder (+582).</t>
        </is>
      </c>
      <c r="Y6" s="159" t="inlineStr">
        <is>
          <t>Juli blev den største måned i Altid Energis historie med 1.461 signups, klart over den tidligere rekord på 1.300 fra februar. Blended konvertering ramte 10,0 pct. (ny rekord), og blended CAC faldt til 131 kr. fra 157 kr. Brand search leverede 733 kunder (rekord), Google sin bedste konverteringsmåned (CVR 11,1 pct., CAC 105 kr.), og affiliates voksede til 334 kunder. Aktive kunder rundede 13.970 (15.267 målepunkter) med en nettotilvækst på 652, og churn holdt sig stabil på 2,2 pct.</t>
        </is>
      </c>
      <c r="Z6" s="159" t="n"/>
      <c r="AA6" s="159" t="n"/>
      <c r="AB6" s="159" t="n"/>
      <c r="AC6" s="159" t="n"/>
      <c r="AD6" s="159" t="n"/>
      <c r="AE6" s="159" t="n"/>
      <c r="AF6" s="159" t="n"/>
      <c r="AG6" s="159" t="n"/>
    </row>
    <row r="7" ht="19.5" customHeight="1" s="118">
      <c r="B7" s="160" t="inlineStr">
        <is>
          <t>WINS — HVAD VIRKEDE</t>
        </is>
      </c>
    </row>
    <row r="8" ht="48" customHeight="1" s="118">
      <c r="B8" s="158" t="inlineStr">
        <is>
          <t>Win 1</t>
        </is>
      </c>
      <c r="C8" s="161" t="n"/>
      <c r="D8" s="161" t="n"/>
      <c r="E8" s="161" t="n"/>
      <c r="F8" s="161" t="n"/>
      <c r="G8" s="161" t="n"/>
      <c r="H8" s="161" t="n"/>
      <c r="I8" s="161" t="n"/>
      <c r="J8" s="161" t="n"/>
      <c r="K8" s="161" t="n"/>
      <c r="L8" s="161" t="n"/>
      <c r="M8" s="161" t="n"/>
      <c r="N8" s="161" t="n"/>
      <c r="O8" s="161" t="n"/>
      <c r="P8" s="161" t="n"/>
      <c r="Q8" s="161" t="n"/>
      <c r="R8" s="161" t="n"/>
      <c r="S8" s="161" t="n"/>
      <c r="T8" s="161" t="n"/>
      <c r="U8" s="161" t="inlineStr">
        <is>
          <t>Affiliate-spor på tværs af alle elselskaber havde højest CVR — eltjek24 alene leverede 173 kunder. Dette er vores mest effektive betalte kanal aktuelt.</t>
        </is>
      </c>
      <c r="V8" s="161" t="n"/>
      <c r="W8" s="161" t="n"/>
      <c r="X8" s="161" t="inlineStr">
        <is>
          <t>Blended CVR ramte 6,4% — anden stigning i træk (3,8% → 5,8% → 6,4%) på trods af lavere trafik.</t>
        </is>
      </c>
      <c r="Y8" s="161" t="inlineStr">
        <is>
          <t>1.461 signups, den højeste måned nogensinde (tidligere rekord 1.300 i februar), leveret midt i sommerlavsæsonen.</t>
        </is>
      </c>
      <c r="Z8" s="161" t="n"/>
      <c r="AA8" s="161" t="n"/>
      <c r="AB8" s="161" t="n"/>
      <c r="AC8" s="161" t="n"/>
      <c r="AD8" s="161" t="n"/>
      <c r="AE8" s="161" t="n"/>
      <c r="AF8" s="161" t="n"/>
      <c r="AG8" s="161" t="n"/>
    </row>
    <row r="9" ht="48" customHeight="1" s="118">
      <c r="B9" s="158" t="inlineStr">
        <is>
          <t>Win 2</t>
        </is>
      </c>
      <c r="C9" s="161" t="n"/>
      <c r="D9" s="161" t="n"/>
      <c r="E9" s="161" t="n"/>
      <c r="F9" s="161" t="n"/>
      <c r="G9" s="161" t="n"/>
      <c r="H9" s="161" t="n"/>
      <c r="I9" s="161" t="n"/>
      <c r="J9" s="161" t="n"/>
      <c r="K9" s="161" t="n"/>
      <c r="L9" s="161" t="n"/>
      <c r="M9" s="161" t="n"/>
      <c r="N9" s="161" t="n"/>
      <c r="O9" s="161" t="n"/>
      <c r="P9" s="161" t="n"/>
      <c r="Q9" s="161" t="n"/>
      <c r="R9" s="161" t="n"/>
      <c r="S9" s="161" t="n"/>
      <c r="T9" s="161" t="n"/>
      <c r="U9" s="161" t="inlineStr">
        <is>
          <t>AdLab (ny affiliate-partner) nåede 31 kunder i første måned og 51 i første halvdel af april. Bevis på at vi kan skalere affiliate-porteføljen.</t>
        </is>
      </c>
      <c r="V9" s="161" t="n"/>
      <c r="W9" s="161" t="n"/>
      <c r="X9" s="161" t="inlineStr">
        <is>
          <t>Churn faldt fra maj's rekordhøje 2,6% til 2,2%, og aktive kunder rundede 13.318 (+582 netto).</t>
        </is>
      </c>
      <c r="Y9" s="161" t="inlineStr">
        <is>
          <t>Blended CVR ramte 10,0 pct. (rekord), og blended CAC faldt til 131 kr. fra 157 kr.</t>
        </is>
      </c>
      <c r="Z9" s="161" t="n"/>
      <c r="AA9" s="161" t="n"/>
      <c r="AB9" s="161" t="n"/>
      <c r="AC9" s="161" t="n"/>
      <c r="AD9" s="161" t="n"/>
      <c r="AE9" s="161" t="n"/>
      <c r="AF9" s="161" t="n"/>
      <c r="AG9" s="161" t="n"/>
    </row>
    <row r="10" ht="48" customHeight="1" s="118">
      <c r="B10" s="158" t="inlineStr">
        <is>
          <t>Win 3</t>
        </is>
      </c>
      <c r="C10" s="161" t="n"/>
      <c r="D10" s="161" t="n"/>
      <c r="E10" s="161" t="n"/>
      <c r="F10" s="161" t="n"/>
      <c r="G10" s="161" t="n"/>
      <c r="H10" s="161" t="n"/>
      <c r="I10" s="161" t="n"/>
      <c r="J10" s="161" t="n"/>
      <c r="K10" s="161" t="n"/>
      <c r="L10" s="161" t="n"/>
      <c r="M10" s="161" t="n"/>
      <c r="N10" s="161" t="n"/>
      <c r="O10" s="161" t="n"/>
      <c r="P10" s="161" t="n"/>
      <c r="Q10" s="161" t="n"/>
      <c r="R10" s="161" t="n"/>
      <c r="S10" s="161" t="n"/>
      <c r="T10" s="161" t="n"/>
      <c r="U10" s="161" t="inlineStr">
        <is>
          <t>Meta CAC faldt fra 489 kr (jan) til 356 kr (marts) — creative refresh og mere præcis audience-targeting betaler sig.</t>
        </is>
      </c>
      <c r="V10" s="161" t="n"/>
      <c r="W10" s="161" t="n"/>
      <c r="X10" s="161" t="inlineStr">
        <is>
          <t>Google leverede 74 kunder (næstbedste måned nogensinde) til CAC 133 kr., og Brand search fastholdt momentum med 446 kunder.</t>
        </is>
      </c>
      <c r="Y10" s="161" t="inlineStr">
        <is>
          <t>Brand search satte rekord med 733 kunder, og Meta CAC faldt til 252 kr. fra 561 kr. efter optimeringen mod køb.</t>
        </is>
      </c>
      <c r="Z10" s="161" t="n"/>
      <c r="AA10" s="161" t="n"/>
      <c r="AB10" s="161" t="n"/>
      <c r="AC10" s="161" t="n"/>
      <c r="AD10" s="161" t="n"/>
      <c r="AE10" s="161" t="n"/>
      <c r="AF10" s="161" t="n"/>
      <c r="AG10" s="161" t="n"/>
    </row>
    <row r="11" ht="19.5" customHeight="1" s="118">
      <c r="B11" s="162" t="inlineStr">
        <is>
          <t>WATCH-OUTS — OBS OMRÅDER</t>
        </is>
      </c>
    </row>
    <row r="12" ht="48" customHeight="1" s="118">
      <c r="B12" s="158" t="inlineStr">
        <is>
          <t>Watch 1</t>
        </is>
      </c>
      <c r="C12" s="163" t="n"/>
      <c r="D12" s="163" t="n"/>
      <c r="E12" s="163" t="n"/>
      <c r="F12" s="163" t="n"/>
      <c r="G12" s="163" t="n"/>
      <c r="H12" s="163" t="n"/>
      <c r="I12" s="163" t="n"/>
      <c r="J12" s="163" t="n"/>
      <c r="K12" s="163" t="n"/>
      <c r="L12" s="163" t="n"/>
      <c r="M12" s="163" t="n"/>
      <c r="N12" s="163" t="n"/>
      <c r="O12" s="163" t="n"/>
      <c r="P12" s="163" t="n"/>
      <c r="Q12" s="163" t="n"/>
      <c r="R12" s="163" t="n"/>
      <c r="S12" s="163" t="n"/>
      <c r="T12" s="163" t="n"/>
      <c r="U12" s="163" t="inlineStr">
        <is>
          <t>TÆNK-placering tabt efter metodeændring. Har omarbejdet content + annoncering to gange — genetabler ikke automatisk inden marketing-plan 2026 er refreshet.</t>
        </is>
      </c>
      <c r="V12" s="163" t="n"/>
      <c r="W12" s="163" t="n"/>
      <c r="X12" s="163" t="inlineStr">
        <is>
          <t>Meta-CAC steg til 561 kr. (fra 432 kr.) — et normalt sæsonmønster, når efterspørgslen falder hen over sommeren. 80 kunder i lavsæsonen er reelt bedre end forventet.</t>
        </is>
      </c>
      <c r="Y12" s="163" t="inlineStr">
        <is>
          <t>Organisk trafik lå på 3.640 klik, fortsat sommerlavt. 389.000 eksponeringer viser dog stærk synlighed.</t>
        </is>
      </c>
      <c r="Z12" s="163" t="n"/>
      <c r="AA12" s="163" t="n"/>
      <c r="AB12" s="163" t="n"/>
      <c r="AC12" s="163" t="n"/>
      <c r="AD12" s="163" t="n"/>
      <c r="AE12" s="163" t="n"/>
      <c r="AF12" s="163" t="n"/>
      <c r="AG12" s="163" t="n"/>
    </row>
    <row r="13" ht="48" customHeight="1" s="118">
      <c r="B13" s="158" t="inlineStr">
        <is>
          <t>Watch 2</t>
        </is>
      </c>
      <c r="C13" s="163" t="n"/>
      <c r="D13" s="163" t="n"/>
      <c r="E13" s="163" t="n"/>
      <c r="F13" s="163" t="n"/>
      <c r="G13" s="163" t="n"/>
      <c r="H13" s="163" t="n"/>
      <c r="I13" s="163" t="n"/>
      <c r="J13" s="163" t="n"/>
      <c r="K13" s="163" t="n"/>
      <c r="L13" s="163" t="n"/>
      <c r="M13" s="163" t="n"/>
      <c r="N13" s="163" t="n"/>
      <c r="O13" s="163" t="n"/>
      <c r="P13" s="163" t="n"/>
      <c r="Q13" s="163" t="n"/>
      <c r="R13" s="163" t="n"/>
      <c r="S13" s="163" t="n"/>
      <c r="T13" s="163" t="n"/>
      <c r="U13" s="163" t="inlineStr">
        <is>
          <t>Brand search CAC (528 kr) ligger 76% over mål. Søgevolumen for 'Altid Energi' er stigende, men konverteringsraten falder — hypotese: prissammenligninger trækker traffic væk.</t>
        </is>
      </c>
      <c r="V13" s="163" t="n"/>
      <c r="W13" s="163" t="n"/>
      <c r="X13" s="163" t="inlineStr">
        <is>
          <t>Organisk trafik faldt til 4.800 fra 7.180 — det er sommersæson, ikke SEO-tab. Der holdes øje med, at niveauet kommer tilbage.</t>
        </is>
      </c>
      <c r="Y13" s="163" t="n"/>
      <c r="Z13" s="163" t="n"/>
      <c r="AA13" s="163" t="n"/>
      <c r="AB13" s="163" t="n"/>
      <c r="AC13" s="163" t="n"/>
      <c r="AD13" s="163" t="n"/>
      <c r="AE13" s="163" t="n"/>
      <c r="AF13" s="163" t="n"/>
      <c r="AG13" s="163" t="n"/>
    </row>
    <row r="14" ht="48" customHeight="1" s="118">
      <c r="B14" s="158" t="inlineStr">
        <is>
          <t>Watch 3</t>
        </is>
      </c>
      <c r="C14" s="163" t="n"/>
      <c r="D14" s="163" t="n"/>
      <c r="E14" s="163" t="n"/>
      <c r="F14" s="163" t="n"/>
      <c r="G14" s="163" t="n"/>
      <c r="H14" s="163" t="n"/>
      <c r="I14" s="163" t="n"/>
      <c r="J14" s="163" t="n"/>
      <c r="K14" s="163" t="n"/>
      <c r="L14" s="163" t="n"/>
      <c r="M14" s="163" t="n"/>
      <c r="N14" s="163" t="n"/>
      <c r="O14" s="163" t="n"/>
      <c r="P14" s="163" t="n"/>
      <c r="Q14" s="163" t="n"/>
      <c r="R14" s="163" t="n"/>
      <c r="S14" s="163" t="n"/>
      <c r="T14" s="163" t="n"/>
      <c r="U14" s="163" t="inlineStr">
        <is>
          <t>YouTube kanal genererer traffic men ingen kunder. 2.100 kr spend i marts uden sign-ups — enten pause eller retarget.</t>
        </is>
      </c>
      <c r="V14" s="163" t="n"/>
      <c r="W14" s="163" t="n"/>
      <c r="X14" s="163" t="n"/>
      <c r="Y14" s="163" t="n"/>
      <c r="Z14" s="163" t="n"/>
      <c r="AA14" s="163" t="n"/>
      <c r="AB14" s="163" t="n"/>
      <c r="AC14" s="163" t="n"/>
      <c r="AD14" s="163" t="n"/>
      <c r="AE14" s="163" t="n"/>
      <c r="AF14" s="163" t="n"/>
      <c r="AG14" s="163" t="n"/>
    </row>
    <row r="15" ht="19.5" customHeight="1" s="118">
      <c r="B15" s="164" t="inlineStr">
        <is>
          <t>INSIGHTS</t>
        </is>
      </c>
    </row>
    <row r="16" ht="48" customHeight="1" s="118">
      <c r="B16" s="158" t="inlineStr">
        <is>
          <t>Key insight</t>
        </is>
      </c>
      <c r="C16" s="165" t="n"/>
      <c r="D16" s="165" t="n"/>
      <c r="E16" s="165" t="n"/>
      <c r="F16" s="165" t="n"/>
      <c r="G16" s="165" t="n"/>
      <c r="H16" s="165" t="n"/>
      <c r="I16" s="165" t="n"/>
      <c r="J16" s="165" t="n"/>
      <c r="K16" s="165" t="n"/>
      <c r="L16" s="165" t="n"/>
      <c r="M16" s="165" t="n"/>
      <c r="N16" s="165" t="n"/>
      <c r="O16" s="165" t="n"/>
      <c r="P16" s="165" t="n"/>
      <c r="Q16" s="165" t="n"/>
      <c r="R16" s="165" t="n"/>
      <c r="S16" s="165" t="n"/>
      <c r="T16" s="165" t="n"/>
      <c r="U16" s="165" t="inlineStr">
        <is>
          <t>Vores bedste kanaler (affiliate, eltjek24) er dem hvor brugeren allerede er i pris-sammenlignings-mode. Brand-bygning (YouTube, TV2) underperformer på direkte CAC — bør måles på brand-lift ikke conversion.</t>
        </is>
      </c>
      <c r="V16" s="165" t="n"/>
      <c r="W16" s="165" t="n"/>
      <c r="X16" s="165" t="inlineStr">
        <is>
          <t>Konverteringsarbejdet på hjemmesiden virker: blended CVR er steget to måneder i træk (3,8% → 5,8% → 6,4%) på trods af lavere trafik. Volumen — ikke konvertering — er nu den primære begrænsning ind i sommerens lavsæson.</t>
        </is>
      </c>
      <c r="Y16" s="165" t="inlineStr">
        <is>
          <t>Efterspørgslen fra de 32.500 tvangsflyttede elkunder ramte direkte ned i et optimeret setup: rekordhøj brand search, stigende konvertering og faldende CAC på samme tid. Volumen kom tilbage langt tidligere end ventet i lavsæsonen.</t>
        </is>
      </c>
      <c r="Z16" s="165" t="n"/>
      <c r="AA16" s="165" t="n"/>
      <c r="AB16" s="165" t="n"/>
      <c r="AC16" s="165" t="n"/>
      <c r="AD16" s="165" t="n"/>
      <c r="AE16" s="165" t="n"/>
      <c r="AF16" s="165" t="n"/>
      <c r="AG16" s="165" t="n"/>
    </row>
    <row r="17" ht="48" customHeight="1" s="118">
      <c r="B17" s="158" t="inlineStr">
        <is>
          <t>Markedsnote / konkurrence</t>
        </is>
      </c>
      <c r="C17" s="165" t="n"/>
      <c r="D17" s="165" t="n"/>
      <c r="E17" s="165" t="n"/>
      <c r="F17" s="165" t="n"/>
      <c r="G17" s="165" t="n"/>
      <c r="H17" s="165" t="n"/>
      <c r="I17" s="165" t="n"/>
      <c r="J17" s="165" t="n"/>
      <c r="K17" s="165" t="n"/>
      <c r="L17" s="165" t="n"/>
      <c r="M17" s="165" t="n"/>
      <c r="N17" s="165" t="n"/>
      <c r="O17" s="165" t="n"/>
      <c r="P17" s="165" t="n"/>
      <c r="Q17" s="165" t="n"/>
      <c r="R17" s="165" t="n"/>
      <c r="S17" s="165" t="n"/>
      <c r="T17" s="165" t="n"/>
      <c r="U17" s="165" t="inlineStr">
        <is>
          <t>Dansk elmarked: Andel Energi og Norlys annoncerer nu også gebyr-fri tariffer. Vores USP udvandes — vi skal hurtigt finde den næste differentiering (forbrugsafregning-likviditet er vores mulighed).</t>
        </is>
      </c>
      <c r="V17" s="165" t="n"/>
      <c r="W17" s="165" t="n"/>
      <c r="X17" s="165" t="inlineStr">
        <is>
          <t>32.500 danske elkunder tvangsflyttes fra deres nuværende leverandører.</t>
        </is>
      </c>
      <c r="Y17" s="165" t="inlineStr">
        <is>
          <t>32.500 danske elkunder er tvangsflyttet fra deres leverandører i sommerens løb.</t>
        </is>
      </c>
      <c r="Z17" s="165" t="n"/>
      <c r="AA17" s="165" t="n"/>
      <c r="AB17" s="165" t="n"/>
      <c r="AC17" s="165" t="n"/>
      <c r="AD17" s="165" t="n"/>
      <c r="AE17" s="165" t="n"/>
      <c r="AF17" s="165" t="n"/>
      <c r="AG17" s="165" t="n"/>
    </row>
    <row r="18" ht="19.5" customHeight="1" s="118">
      <c r="B18" s="166" t="inlineStr">
        <is>
          <t>NEXT MONTH FOCUS</t>
        </is>
      </c>
    </row>
    <row r="19" ht="48" customHeight="1" s="118">
      <c r="B19" s="158" t="inlineStr">
        <is>
          <t>Prioritet 1</t>
        </is>
      </c>
      <c r="C19" s="167" t="n"/>
      <c r="D19" s="167" t="n"/>
      <c r="E19" s="167" t="n"/>
      <c r="F19" s="167" t="n"/>
      <c r="G19" s="167" t="n"/>
      <c r="H19" s="167" t="n"/>
      <c r="I19" s="167" t="n"/>
      <c r="J19" s="167" t="n"/>
      <c r="K19" s="167" t="n"/>
      <c r="L19" s="167" t="n"/>
      <c r="M19" s="167" t="n"/>
      <c r="N19" s="167" t="n"/>
      <c r="O19" s="167" t="n"/>
      <c r="P19" s="167" t="n"/>
      <c r="Q19" s="167" t="n"/>
      <c r="R19" s="167" t="n"/>
      <c r="S19" s="167" t="n"/>
      <c r="T19" s="167" t="n"/>
      <c r="U19" s="167" t="inlineStr">
        <is>
          <t>Refresh marketing-plan 2026 med forbrugsafregning-likviditet som ny USP. Owner: Mikkel. Deadline: maj.</t>
        </is>
      </c>
      <c r="V19" s="167" t="n"/>
      <c r="W19" s="167" t="n"/>
      <c r="X19" s="167" t="inlineStr">
        <is>
          <t>Lancere Bliss Budget-samarbejdet (landingpage + signup-flow live 1. juli).</t>
        </is>
      </c>
      <c r="Y19" s="167" t="n"/>
      <c r="Z19" s="167" t="n"/>
      <c r="AA19" s="167" t="n"/>
      <c r="AB19" s="167" t="n"/>
      <c r="AC19" s="167" t="n"/>
      <c r="AD19" s="167" t="n"/>
      <c r="AE19" s="167" t="n"/>
      <c r="AF19" s="167" t="n"/>
      <c r="AG19" s="167" t="n"/>
    </row>
    <row r="20" ht="48" customHeight="1" s="118">
      <c r="B20" s="158" t="inlineStr">
        <is>
          <t>Prioritet 2</t>
        </is>
      </c>
      <c r="C20" s="167" t="n"/>
      <c r="D20" s="167" t="n"/>
      <c r="E20" s="167" t="n"/>
      <c r="F20" s="167" t="n"/>
      <c r="G20" s="167" t="n"/>
      <c r="H20" s="167" t="n"/>
      <c r="I20" s="167" t="n"/>
      <c r="J20" s="167" t="n"/>
      <c r="K20" s="167" t="n"/>
      <c r="L20" s="167" t="n"/>
      <c r="M20" s="167" t="n"/>
      <c r="N20" s="167" t="n"/>
      <c r="O20" s="167" t="n"/>
      <c r="P20" s="167" t="n"/>
      <c r="Q20" s="167" t="n"/>
      <c r="R20" s="167" t="n"/>
      <c r="S20" s="167" t="n"/>
      <c r="T20" s="167" t="n"/>
      <c r="U20" s="167" t="inlineStr">
        <is>
          <t>Skalér AdLab og aktivér yderligere 2 affiliate-partnere. Test budget-shift fra YouTube → affiliate. Owner: Performance-team. Deadline: april.</t>
        </is>
      </c>
      <c r="V20" s="167" t="n"/>
      <c r="W20" s="167" t="n"/>
      <c r="X20" s="167" t="inlineStr">
        <is>
          <t>Lancere Savier-samarbejdet.</t>
        </is>
      </c>
      <c r="Y20" s="167" t="n"/>
      <c r="Z20" s="167" t="n"/>
      <c r="AA20" s="167" t="n"/>
      <c r="AB20" s="167" t="n"/>
      <c r="AC20" s="167" t="n"/>
      <c r="AD20" s="167" t="n"/>
      <c r="AE20" s="167" t="n"/>
      <c r="AF20" s="167" t="n"/>
      <c r="AG20" s="167" t="n"/>
    </row>
    <row r="21" ht="48" customHeight="1" s="118">
      <c r="B21" s="158" t="inlineStr">
        <is>
          <t>Prioritet 3</t>
        </is>
      </c>
      <c r="C21" s="167" t="n"/>
      <c r="D21" s="167" t="n"/>
      <c r="E21" s="167" t="n"/>
      <c r="F21" s="167" t="n"/>
      <c r="G21" s="167" t="n"/>
      <c r="H21" s="167" t="n"/>
      <c r="I21" s="167" t="n"/>
      <c r="J21" s="167" t="n"/>
      <c r="K21" s="167" t="n"/>
      <c r="L21" s="167" t="n"/>
      <c r="M21" s="167" t="n"/>
      <c r="N21" s="167" t="n"/>
      <c r="O21" s="167" t="n"/>
      <c r="P21" s="167" t="n"/>
      <c r="Q21" s="167" t="n"/>
      <c r="R21" s="167" t="n"/>
      <c r="S21" s="167" t="n"/>
      <c r="T21" s="167" t="n"/>
      <c r="U21" s="167" t="inlineStr">
        <is>
          <t>Sæt brand-lift måling op for YouTube + TV2 (brand search-volumen som proxy). Owner: Analytics. Deadline: april.</t>
        </is>
      </c>
      <c r="V21" s="167" t="n"/>
      <c r="W21" s="167" t="n"/>
      <c r="X21" s="167" t="inlineStr">
        <is>
          <t>Holde øje med performance henover ferieperioden.</t>
        </is>
      </c>
      <c r="Y21" s="167" t="n"/>
      <c r="Z21" s="167" t="n"/>
      <c r="AA21" s="167" t="n"/>
      <c r="AB21" s="167" t="n"/>
      <c r="AC21" s="167" t="n"/>
      <c r="AD21" s="167" t="n"/>
      <c r="AE21" s="167" t="n"/>
      <c r="AF21" s="167" t="n"/>
      <c r="AG21" s="167" t="n"/>
    </row>
  </sheetData>
  <mergeCells count="6">
    <mergeCell ref="B4:U4"/>
    <mergeCell ref="B18:U18"/>
    <mergeCell ref="B15:U15"/>
    <mergeCell ref="B7:U7"/>
    <mergeCell ref="B11:U11"/>
    <mergeCell ref="B2:U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1"/>
  </sheetPr>
  <dimension ref="B2:AE15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cols>
    <col width="4.16" customWidth="1" style="117" min="1" max="31"/>
  </cols>
  <sheetData>
    <row r="1" ht="7.5" customHeight="1" s="118"/>
    <row r="2" ht="21.75" customHeight="1" s="118">
      <c r="B2" s="168" t="inlineStr">
        <is>
          <t>ALTID ENERGI — MARKETING PERFORMANCE REPORT</t>
        </is>
      </c>
    </row>
    <row r="3" ht="15.75" customHeight="1" s="118">
      <c r="B3" s="169" t="inlineStr">
        <is>
          <t>Danmarks eneste gebyrfri elselskab — strøm til indkøbspris</t>
        </is>
      </c>
      <c r="V3" s="170">
        <f>TEXT(Input!V$3,"mmmm yyyy")&amp;" · Prepared "&amp;TEXT(TODAY(),"mmm d, yyyy")</f>
        <v/>
      </c>
    </row>
    <row r="4" ht="3.75" customHeight="1" s="118">
      <c r="B4" s="171" t="n"/>
      <c r="C4" s="171" t="n"/>
      <c r="D4" s="171" t="n"/>
      <c r="E4" s="171" t="n"/>
      <c r="F4" s="171" t="n"/>
      <c r="G4" s="171" t="n"/>
      <c r="H4" s="171" t="n"/>
      <c r="I4" s="171" t="n"/>
      <c r="J4" s="171" t="n"/>
      <c r="K4" s="171" t="n"/>
      <c r="L4" s="171" t="n"/>
      <c r="M4" s="171" t="n"/>
      <c r="N4" s="171" t="n"/>
      <c r="O4" s="171" t="n"/>
      <c r="P4" s="171" t="n"/>
      <c r="Q4" s="171" t="n"/>
      <c r="R4" s="171" t="n"/>
      <c r="S4" s="171" t="n"/>
      <c r="T4" s="171" t="n"/>
      <c r="U4" s="171" t="n"/>
      <c r="V4" s="171" t="n"/>
      <c r="W4" s="171" t="n"/>
      <c r="X4" s="171" t="n"/>
      <c r="Y4" s="171" t="n"/>
      <c r="Z4" s="171" t="n"/>
      <c r="AA4" s="171" t="n"/>
      <c r="AB4" s="171" t="n"/>
      <c r="AC4" s="171" t="n"/>
      <c r="AD4" s="171" t="n"/>
    </row>
    <row r="5" ht="6" customHeight="1" s="118"/>
    <row r="6" ht="15.75" customHeight="1" s="118">
      <c r="B6" s="172" t="inlineStr">
        <is>
          <t>SIGN-UPS</t>
        </is>
      </c>
      <c r="C6" s="173" t="n"/>
      <c r="D6" s="173" t="n"/>
      <c r="E6" s="173" t="n"/>
      <c r="F6" s="174" t="n"/>
      <c r="G6" s="172" t="inlineStr">
        <is>
          <t>BLENDED CAC</t>
        </is>
      </c>
      <c r="H6" s="173" t="n"/>
      <c r="I6" s="173" t="n"/>
      <c r="J6" s="173" t="n"/>
      <c r="K6" s="174" t="n"/>
      <c r="L6" s="172" t="inlineStr">
        <is>
          <t>CAC PAYBACK</t>
        </is>
      </c>
      <c r="M6" s="173" t="n"/>
      <c r="N6" s="173" t="n"/>
      <c r="O6" s="173" t="n"/>
      <c r="P6" s="174" t="n"/>
      <c r="Q6" s="172" t="inlineStr">
        <is>
          <t>LTV : CAC</t>
        </is>
      </c>
      <c r="R6" s="173" t="n"/>
      <c r="S6" s="173" t="n"/>
      <c r="T6" s="173" t="n"/>
      <c r="U6" s="174" t="n"/>
      <c r="V6" s="172" t="inlineStr">
        <is>
          <t>MARKETING SPEND</t>
        </is>
      </c>
      <c r="W6" s="173" t="n"/>
      <c r="X6" s="173" t="n"/>
      <c r="Y6" s="173" t="n"/>
      <c r="Z6" s="174" t="n"/>
      <c r="AA6" s="172" t="inlineStr">
        <is>
          <t>BLENDED CVR</t>
        </is>
      </c>
      <c r="AB6" s="173" t="n"/>
      <c r="AC6" s="173" t="n"/>
      <c r="AD6" s="173" t="n"/>
      <c r="AE6" s="174" t="n"/>
    </row>
    <row r="7" ht="21.75" customHeight="1" s="118">
      <c r="B7" s="175">
        <f>Input!V111</f>
        <v/>
      </c>
      <c r="F7" s="176" t="n"/>
      <c r="G7" s="177">
        <f>Input!V112</f>
        <v/>
      </c>
      <c r="K7" s="176" t="n"/>
      <c r="L7" s="178">
        <f>IFERROR(Input!V112/(ltv*margin_pct/customer_lifetime),0)</f>
        <v/>
      </c>
      <c r="P7" s="176" t="n"/>
      <c r="Q7" s="179">
        <f>IFERROR((ltv*margin_pct)/Input!V112,0)</f>
        <v/>
      </c>
      <c r="U7" s="176" t="n"/>
      <c r="V7" s="177">
        <f>Input!V110</f>
        <v/>
      </c>
      <c r="Z7" s="176" t="n"/>
      <c r="AA7" s="180">
        <f>Input!V116</f>
        <v/>
      </c>
      <c r="AE7" s="176" t="n"/>
    </row>
    <row r="8" ht="13.5" customHeight="1" s="118">
      <c r="B8" s="181">
        <f>IF(Input!V111&gt;=Input!U111,"ON TRACK",IF(Input!V111&gt;=Input!U111*0.9,"WATCH","OFF-TRACK"))</f>
        <v/>
      </c>
      <c r="F8" s="176" t="n"/>
      <c r="G8" s="181">
        <f>IF(Input!V112&lt;=CAC_TARGET,"ON TRACK",IF(Input!V112&lt;=CAC_TARGET*1.1,"WATCH","OFF-TRACK"))</f>
        <v/>
      </c>
      <c r="K8" s="176" t="n"/>
      <c r="L8" s="181" t="inlineStr">
        <is>
          <t>–</t>
        </is>
      </c>
      <c r="P8" s="176" t="n"/>
      <c r="Q8" s="181">
        <f>IF(IFERROR((ltv*margin_pct)/Input!V112,0)&gt;=3,"ON TRACK",IF(IFERROR((ltv*margin_pct)/Input!V112,0)&gt;=2,"WATCH","OFF-TRACK"))</f>
        <v/>
      </c>
      <c r="U8" s="176" t="n"/>
      <c r="V8" s="181" t="inlineStr">
        <is>
          <t>–</t>
        </is>
      </c>
      <c r="Z8" s="176" t="n"/>
      <c r="AA8" s="181">
        <f>IF(Input!V116&gt;=CVR_TARGET,"ON TRACK",IF(Input!V116&gt;=CVR_TARGET*0.9,"WATCH","OFF-TRACK"))</f>
        <v/>
      </c>
      <c r="AE8" s="176" t="n"/>
    </row>
    <row r="9" ht="13.5" customHeight="1" s="118">
      <c r="B9" s="182">
        <f>IFERROR(Input!V111/Input!U111-1,0)</f>
        <v/>
      </c>
      <c r="F9" s="176" t="n"/>
      <c r="G9" s="182">
        <f>IFERROR(Input!V112/Input!U112-1,0)</f>
        <v/>
      </c>
      <c r="K9" s="176" t="n"/>
      <c r="L9" s="183">
        <f>IFERROR(Input!V112/(ltv*margin_pct/customer_lifetime)-Input!U112/(ltv*margin_pct/customer_lifetime),0)</f>
        <v/>
      </c>
      <c r="P9" s="176" t="n"/>
      <c r="Q9" s="184">
        <f>IFERROR((ltv*margin_pct)/Input!V112-(ltv*margin_pct)/Input!U112,0)</f>
        <v/>
      </c>
      <c r="U9" s="176" t="n"/>
      <c r="V9" s="182">
        <f>IFERROR(Input!V110/Input!U110-1,0)</f>
        <v/>
      </c>
      <c r="Z9" s="176" t="n"/>
      <c r="AA9" s="185">
        <f>IFERROR(Input!V116-Input!U116,0)</f>
        <v/>
      </c>
      <c r="AE9" s="176" t="n"/>
    </row>
    <row r="10" ht="15.75" customHeight="1" s="118">
      <c r="B10" s="186" t="inlineStr">
        <is>
          <t>Total new customers this month</t>
        </is>
      </c>
      <c r="C10" s="187" t="n"/>
      <c r="D10" s="187" t="n"/>
      <c r="E10" s="187" t="n"/>
      <c r="F10" s="188" t="n"/>
      <c r="G10" s="186" t="inlineStr">
        <is>
          <t>Total spend / total sign-ups</t>
        </is>
      </c>
      <c r="H10" s="187" t="n"/>
      <c r="I10" s="187" t="n"/>
      <c r="J10" s="187" t="n"/>
      <c r="K10" s="188" t="n"/>
      <c r="L10" s="186" t="inlineStr">
        <is>
          <t>CAC recovered via gross margin</t>
        </is>
      </c>
      <c r="M10" s="187" t="n"/>
      <c r="N10" s="187" t="n"/>
      <c r="O10" s="187" t="n"/>
      <c r="P10" s="188" t="n"/>
      <c r="Q10" s="186" t="inlineStr">
        <is>
          <t>Target ≥ 3.0x</t>
        </is>
      </c>
      <c r="R10" s="187" t="n"/>
      <c r="S10" s="187" t="n"/>
      <c r="T10" s="187" t="n"/>
      <c r="U10" s="188" t="n"/>
      <c r="V10" s="186" t="inlineStr">
        <is>
          <t>Month-to-date total spend</t>
        </is>
      </c>
      <c r="W10" s="187" t="n"/>
      <c r="X10" s="187" t="n"/>
      <c r="Y10" s="187" t="n"/>
      <c r="Z10" s="188" t="n"/>
      <c r="AA10" s="186" t="inlineStr">
        <is>
          <t>Total sign-ups / total visitors</t>
        </is>
      </c>
      <c r="AB10" s="187" t="n"/>
      <c r="AC10" s="187" t="n"/>
      <c r="AD10" s="187" t="n"/>
      <c r="AE10" s="188" t="n"/>
    </row>
    <row r="11" ht="6" customHeight="1" s="118"/>
    <row r="12" ht="7.5" customHeight="1" s="118"/>
    <row r="13" ht="18" customHeight="1" s="118">
      <c r="B13" s="189" t="inlineStr">
        <is>
          <t>12-MONTH TREND — SIGN-UPS &amp; BLENDED CAC</t>
        </is>
      </c>
      <c r="C13" s="187" t="n"/>
      <c r="D13" s="187" t="n"/>
      <c r="E13" s="187" t="n"/>
      <c r="F13" s="187" t="n"/>
      <c r="G13" s="187" t="n"/>
      <c r="H13" s="187" t="n"/>
      <c r="I13" s="187" t="n"/>
      <c r="J13" s="187" t="n"/>
      <c r="K13" s="187" t="n"/>
      <c r="L13" s="187" t="n"/>
      <c r="M13" s="187" t="n"/>
      <c r="N13" s="187" t="n"/>
      <c r="O13" s="187" t="n"/>
      <c r="P13" s="187" t="n"/>
      <c r="Q13" s="187" t="n"/>
      <c r="R13" s="187" t="n"/>
      <c r="S13" s="187" t="n"/>
      <c r="T13" s="187" t="n"/>
      <c r="U13" s="187" t="n"/>
      <c r="V13" s="187" t="n"/>
      <c r="W13" s="187" t="n"/>
      <c r="X13" s="187" t="n"/>
      <c r="Y13" s="187" t="n"/>
      <c r="Z13" s="187" t="n"/>
      <c r="AA13" s="187" t="n"/>
      <c r="AB13" s="187" t="n"/>
      <c r="AC13" s="187" t="n"/>
      <c r="AD13" s="187" t="n"/>
    </row>
    <row r="14" ht="13.5" customHeight="1" s="118"/>
    <row r="15" ht="13.5" customHeight="1" s="118"/>
    <row r="16" ht="13.5" customHeight="1" s="118"/>
    <row r="17" ht="13.5" customHeight="1" s="118"/>
    <row r="18" ht="13.5" customHeight="1" s="118"/>
    <row r="19" ht="13.5" customHeight="1" s="118"/>
    <row r="20" ht="13.5" customHeight="1" s="118"/>
    <row r="21" ht="13.5" customHeight="1" s="118"/>
    <row r="22" ht="13.5" customHeight="1" s="118"/>
    <row r="23" ht="13.5" customHeight="1" s="118"/>
    <row r="24" ht="13.5" customHeight="1" s="118"/>
    <row r="25" ht="13.5" customHeight="1" s="118"/>
    <row r="26" ht="13.5" customHeight="1" s="118"/>
    <row r="27" ht="13.5" customHeight="1" s="118"/>
    <row r="28" ht="13.5" customHeight="1" s="118"/>
    <row r="29" ht="13.5" customHeight="1" s="118"/>
    <row r="30" ht="13.5" customHeight="1" s="118"/>
    <row r="31" ht="13.5" customHeight="1" s="118"/>
    <row r="32" ht="13.5" customHeight="1" s="118"/>
    <row r="33" ht="6" customHeight="1" s="118"/>
    <row r="34" ht="18" customHeight="1" s="118">
      <c r="B34" s="189" t="inlineStr">
        <is>
          <t>EXECUTIVE NARRATIVE</t>
        </is>
      </c>
      <c r="C34" s="187" t="n"/>
      <c r="D34" s="187" t="n"/>
      <c r="E34" s="187" t="n"/>
      <c r="F34" s="187" t="n"/>
      <c r="G34" s="187" t="n"/>
      <c r="H34" s="187" t="n"/>
      <c r="I34" s="187" t="n"/>
      <c r="J34" s="187" t="n"/>
      <c r="K34" s="187" t="n"/>
      <c r="L34" s="187" t="n"/>
      <c r="M34" s="187" t="n"/>
      <c r="N34" s="187" t="n"/>
      <c r="O34" s="187" t="n"/>
      <c r="P34" s="187" t="n"/>
      <c r="Q34" s="187" t="n"/>
      <c r="R34" s="187" t="n"/>
      <c r="S34" s="187" t="n"/>
      <c r="T34" s="187" t="n"/>
      <c r="U34" s="187" t="n"/>
      <c r="V34" s="187" t="n"/>
      <c r="W34" s="187" t="n"/>
      <c r="X34" s="187" t="n"/>
      <c r="Y34" s="187" t="n"/>
      <c r="Z34" s="187" t="n"/>
      <c r="AA34" s="187" t="n"/>
      <c r="AB34" s="187" t="n"/>
      <c r="AC34" s="187" t="n"/>
      <c r="AD34" s="187" t="n"/>
    </row>
    <row r="35" ht="18" customHeight="1" s="118">
      <c r="B35" s="190" t="inlineStr">
        <is>
          <t>WINS</t>
        </is>
      </c>
      <c r="C35" s="173" t="n"/>
      <c r="D35" s="173" t="n"/>
      <c r="E35" s="173" t="n"/>
      <c r="F35" s="173" t="n"/>
      <c r="G35" s="173" t="n"/>
      <c r="H35" s="173" t="n"/>
      <c r="I35" s="173" t="n"/>
      <c r="J35" s="173" t="n"/>
      <c r="K35" s="174" t="n"/>
      <c r="L35" s="191" t="inlineStr">
        <is>
          <t>WATCH-OUTS</t>
        </is>
      </c>
      <c r="M35" s="173" t="n"/>
      <c r="N35" s="173" t="n"/>
      <c r="O35" s="173" t="n"/>
      <c r="P35" s="173" t="n"/>
      <c r="Q35" s="173" t="n"/>
      <c r="R35" s="173" t="n"/>
      <c r="S35" s="173" t="n"/>
      <c r="T35" s="173" t="n"/>
      <c r="U35" s="174" t="n"/>
      <c r="V35" s="192" t="inlineStr">
        <is>
          <t>NEXT MONTH FOCUS</t>
        </is>
      </c>
      <c r="W35" s="173" t="n"/>
      <c r="X35" s="173" t="n"/>
      <c r="Y35" s="173" t="n"/>
      <c r="Z35" s="173" t="n"/>
      <c r="AA35" s="173" t="n"/>
      <c r="AB35" s="173" t="n"/>
      <c r="AC35" s="173" t="n"/>
      <c r="AD35" s="173" t="n"/>
      <c r="AE35" s="174" t="n"/>
    </row>
    <row r="36" ht="12" customHeight="1" s="118">
      <c r="B36" s="193">
        <f>IFERROR(Kommentarer!U8,"")</f>
        <v/>
      </c>
      <c r="K36" s="176" t="n"/>
      <c r="L36" s="194">
        <f>IFERROR(Kommentarer!U12,"")</f>
        <v/>
      </c>
      <c r="U36" s="176" t="n"/>
      <c r="V36" s="195">
        <f>IFERROR(Kommentarer!U19,"")</f>
        <v/>
      </c>
      <c r="AE36" s="176" t="n"/>
    </row>
    <row r="37" ht="12" customHeight="1" s="118">
      <c r="B37" s="196" t="n"/>
      <c r="K37" s="176" t="n"/>
      <c r="L37" s="196" t="n"/>
      <c r="U37" s="176" t="n"/>
      <c r="V37" s="196" t="n"/>
      <c r="AE37" s="176" t="n"/>
    </row>
    <row r="38" ht="12" customHeight="1" s="118">
      <c r="B38" s="196" t="n"/>
      <c r="K38" s="176" t="n"/>
      <c r="L38" s="196" t="n"/>
      <c r="U38" s="176" t="n"/>
      <c r="V38" s="196" t="n"/>
      <c r="AE38" s="176" t="n"/>
    </row>
    <row r="39" ht="12" customHeight="1" s="118">
      <c r="B39" s="197" t="n"/>
      <c r="C39" s="187" t="n"/>
      <c r="D39" s="187" t="n"/>
      <c r="E39" s="187" t="n"/>
      <c r="F39" s="187" t="n"/>
      <c r="G39" s="187" t="n"/>
      <c r="H39" s="187" t="n"/>
      <c r="I39" s="187" t="n"/>
      <c r="J39" s="187" t="n"/>
      <c r="K39" s="188" t="n"/>
      <c r="L39" s="197" t="n"/>
      <c r="M39" s="187" t="n"/>
      <c r="N39" s="187" t="n"/>
      <c r="O39" s="187" t="n"/>
      <c r="P39" s="187" t="n"/>
      <c r="Q39" s="187" t="n"/>
      <c r="R39" s="187" t="n"/>
      <c r="S39" s="187" t="n"/>
      <c r="T39" s="187" t="n"/>
      <c r="U39" s="188" t="n"/>
      <c r="V39" s="197" t="n"/>
      <c r="W39" s="187" t="n"/>
      <c r="X39" s="187" t="n"/>
      <c r="Y39" s="187" t="n"/>
      <c r="Z39" s="187" t="n"/>
      <c r="AA39" s="187" t="n"/>
      <c r="AB39" s="187" t="n"/>
      <c r="AC39" s="187" t="n"/>
      <c r="AD39" s="187" t="n"/>
      <c r="AE39" s="188" t="n"/>
    </row>
    <row r="40" ht="12" customHeight="1" s="118">
      <c r="B40" s="193">
        <f>IFERROR(Kommentarer!U9,"")</f>
        <v/>
      </c>
      <c r="K40" s="176" t="n"/>
      <c r="L40" s="194">
        <f>IFERROR(Kommentarer!U13,"")</f>
        <v/>
      </c>
      <c r="U40" s="176" t="n"/>
      <c r="V40" s="195">
        <f>IFERROR(Kommentarer!U20,"")</f>
        <v/>
      </c>
      <c r="AE40" s="176" t="n"/>
    </row>
    <row r="41" ht="12" customHeight="1" s="118">
      <c r="B41" s="196" t="n"/>
      <c r="K41" s="176" t="n"/>
      <c r="L41" s="196" t="n"/>
      <c r="U41" s="176" t="n"/>
      <c r="V41" s="196" t="n"/>
      <c r="AE41" s="176" t="n"/>
    </row>
    <row r="42" ht="12" customHeight="1" s="118">
      <c r="B42" s="196" t="n"/>
      <c r="K42" s="176" t="n"/>
      <c r="L42" s="196" t="n"/>
      <c r="U42" s="176" t="n"/>
      <c r="V42" s="196" t="n"/>
      <c r="AE42" s="176" t="n"/>
    </row>
    <row r="43" ht="12" customHeight="1" s="118">
      <c r="B43" s="197" t="n"/>
      <c r="C43" s="187" t="n"/>
      <c r="D43" s="187" t="n"/>
      <c r="E43" s="187" t="n"/>
      <c r="F43" s="187" t="n"/>
      <c r="G43" s="187" t="n"/>
      <c r="H43" s="187" t="n"/>
      <c r="I43" s="187" t="n"/>
      <c r="J43" s="187" t="n"/>
      <c r="K43" s="188" t="n"/>
      <c r="L43" s="197" t="n"/>
      <c r="M43" s="187" t="n"/>
      <c r="N43" s="187" t="n"/>
      <c r="O43" s="187" t="n"/>
      <c r="P43" s="187" t="n"/>
      <c r="Q43" s="187" t="n"/>
      <c r="R43" s="187" t="n"/>
      <c r="S43" s="187" t="n"/>
      <c r="T43" s="187" t="n"/>
      <c r="U43" s="188" t="n"/>
      <c r="V43" s="197" t="n"/>
      <c r="W43" s="187" t="n"/>
      <c r="X43" s="187" t="n"/>
      <c r="Y43" s="187" t="n"/>
      <c r="Z43" s="187" t="n"/>
      <c r="AA43" s="187" t="n"/>
      <c r="AB43" s="187" t="n"/>
      <c r="AC43" s="187" t="n"/>
      <c r="AD43" s="187" t="n"/>
      <c r="AE43" s="188" t="n"/>
    </row>
    <row r="44" ht="12" customHeight="1" s="118">
      <c r="B44" s="193">
        <f>IFERROR(Kommentarer!U10,"")</f>
        <v/>
      </c>
      <c r="K44" s="176" t="n"/>
      <c r="L44" s="194">
        <f>IFERROR(Kommentarer!U14,"")</f>
        <v/>
      </c>
      <c r="U44" s="176" t="n"/>
      <c r="V44" s="195">
        <f>IFERROR(Kommentarer!U21,"")</f>
        <v/>
      </c>
      <c r="AE44" s="176" t="n"/>
    </row>
    <row r="45" ht="12" customHeight="1" s="118">
      <c r="B45" s="196" t="n"/>
      <c r="K45" s="176" t="n"/>
      <c r="L45" s="196" t="n"/>
      <c r="U45" s="176" t="n"/>
      <c r="V45" s="196" t="n"/>
      <c r="AE45" s="176" t="n"/>
    </row>
    <row r="46" ht="12" customHeight="1" s="118">
      <c r="B46" s="196" t="n"/>
      <c r="K46" s="176" t="n"/>
      <c r="L46" s="196" t="n"/>
      <c r="U46" s="176" t="n"/>
      <c r="V46" s="196" t="n"/>
      <c r="AE46" s="176" t="n"/>
    </row>
    <row r="47" ht="12" customHeight="1" s="118">
      <c r="B47" s="197" t="n"/>
      <c r="C47" s="187" t="n"/>
      <c r="D47" s="187" t="n"/>
      <c r="E47" s="187" t="n"/>
      <c r="F47" s="187" t="n"/>
      <c r="G47" s="187" t="n"/>
      <c r="H47" s="187" t="n"/>
      <c r="I47" s="187" t="n"/>
      <c r="J47" s="187" t="n"/>
      <c r="K47" s="188" t="n"/>
      <c r="L47" s="197" t="n"/>
      <c r="M47" s="187" t="n"/>
      <c r="N47" s="187" t="n"/>
      <c r="O47" s="187" t="n"/>
      <c r="P47" s="187" t="n"/>
      <c r="Q47" s="187" t="n"/>
      <c r="R47" s="187" t="n"/>
      <c r="S47" s="187" t="n"/>
      <c r="T47" s="187" t="n"/>
      <c r="U47" s="188" t="n"/>
      <c r="V47" s="197" t="n"/>
      <c r="W47" s="187" t="n"/>
      <c r="X47" s="187" t="n"/>
      <c r="Y47" s="187" t="n"/>
      <c r="Z47" s="187" t="n"/>
      <c r="AA47" s="187" t="n"/>
      <c r="AB47" s="187" t="n"/>
      <c r="AC47" s="187" t="n"/>
      <c r="AD47" s="187" t="n"/>
      <c r="AE47" s="188" t="n"/>
    </row>
    <row r="48" ht="6" customHeight="1" s="118"/>
    <row r="49" ht="6" customHeight="1" s="118"/>
    <row r="50" ht="6" customHeight="1" s="118"/>
    <row r="51" ht="6" customHeight="1" s="118"/>
    <row r="52" ht="21.75" customHeight="1" s="118">
      <c r="B52" s="155" t="inlineStr">
        <is>
          <t>CHANNEL PERFORMANCE &amp; UNIT ECONOMICS</t>
        </is>
      </c>
    </row>
    <row r="53" ht="6" customHeight="1" s="118"/>
    <row r="54" ht="18" customHeight="1" s="118">
      <c r="B54" s="198" t="inlineStr">
        <is>
          <t>Channel</t>
        </is>
      </c>
      <c r="H54" s="199" t="inlineStr">
        <is>
          <t>Spend (3M)</t>
        </is>
      </c>
      <c r="L54" s="199" t="inlineStr">
        <is>
          <t>% of paid</t>
        </is>
      </c>
      <c r="N54" s="199" t="inlineStr">
        <is>
          <t>Sign-ups (3M)</t>
        </is>
      </c>
      <c r="Q54" s="199" t="inlineStr">
        <is>
          <t>CVR (3M)</t>
        </is>
      </c>
      <c r="T54" s="199" t="inlineStr">
        <is>
          <t>CAC (3M)</t>
        </is>
      </c>
      <c r="W54" s="199" t="inlineStr">
        <is>
          <t>vs Target</t>
        </is>
      </c>
      <c r="Z54" s="199" t="inlineStr">
        <is>
          <t>Status</t>
        </is>
      </c>
    </row>
    <row r="55" ht="18" customHeight="1" s="118">
      <c r="B55" s="200" t="inlineStr">
        <is>
          <t>Meta</t>
        </is>
      </c>
      <c r="C55" s="187" t="n"/>
      <c r="D55" s="187" t="n"/>
      <c r="E55" s="187" t="n"/>
      <c r="F55" s="187" t="n"/>
      <c r="G55" s="187" t="n"/>
      <c r="H55" s="201">
        <f>SUM(Input!T5:V5)</f>
        <v/>
      </c>
      <c r="I55" s="187" t="n"/>
      <c r="J55" s="187" t="n"/>
      <c r="K55" s="187" t="n"/>
      <c r="L55" s="202">
        <f>IFERROR(SUM(Input!T5:V5)/SUM(Input!T117:V117),0)</f>
        <v/>
      </c>
      <c r="M55" s="187" t="n"/>
      <c r="N55" s="203">
        <f>SUM(Input!T8:V8)</f>
        <v/>
      </c>
      <c r="O55" s="187" t="n"/>
      <c r="P55" s="187" t="n"/>
      <c r="Q55" s="202">
        <f>IFERROR(AVERAGEIFS(Input!T9:V9,Input!T9:V9,"&gt;0"),0)</f>
        <v/>
      </c>
      <c r="R55" s="187" t="n"/>
      <c r="S55" s="187" t="n"/>
      <c r="T55" s="204">
        <f>IFERROR(SUM(Input!T5:V5)/SUM(Input!T8:V8),0)</f>
        <v/>
      </c>
      <c r="U55" s="187" t="n"/>
      <c r="V55" s="187" t="n"/>
      <c r="W55" s="205">
        <f>IFERROR(IFERROR(SUM(Input!T5:V5)/SUM(Input!T8:V8),0)/CAC_TARGET-1,0)</f>
        <v/>
      </c>
      <c r="X55" s="187" t="n"/>
      <c r="Y55" s="187" t="n"/>
      <c r="Z55" s="206">
        <f>IF(IFERROR(SUM(Input!T5:V5)/SUM(Input!T8:V8),0)=0,"NO DATA",IF(IFERROR(SUM(Input!T5:V5)/SUM(Input!T8:V8),0)&lt;=CAC_TARGET,"ON TRACK",IF(IFERROR(SUM(Input!T5:V5)/SUM(Input!T8:V8),0)&lt;=CAC_TARGET*1.15,"WATCH","OFF-TRACK")))</f>
        <v/>
      </c>
      <c r="AA55" s="187" t="n"/>
      <c r="AB55" s="187" t="n"/>
      <c r="AC55" s="187" t="n"/>
      <c r="AD55" s="187" t="n"/>
      <c r="AE55" s="187" t="n"/>
    </row>
    <row r="56" ht="18" customHeight="1" s="118">
      <c r="B56" s="207" t="inlineStr">
        <is>
          <t>Google</t>
        </is>
      </c>
      <c r="C56" s="187" t="n"/>
      <c r="D56" s="187" t="n"/>
      <c r="E56" s="187" t="n"/>
      <c r="F56" s="187" t="n"/>
      <c r="G56" s="187" t="n"/>
      <c r="H56" s="208">
        <f>SUM(Input!T12:V12)</f>
        <v/>
      </c>
      <c r="I56" s="187" t="n"/>
      <c r="J56" s="187" t="n"/>
      <c r="K56" s="187" t="n"/>
      <c r="L56" s="209">
        <f>IFERROR(SUM(Input!T12:V12)/SUM(Input!T117:V117),0)</f>
        <v/>
      </c>
      <c r="M56" s="187" t="n"/>
      <c r="N56" s="210">
        <f>SUM(Input!T15:V15)</f>
        <v/>
      </c>
      <c r="O56" s="187" t="n"/>
      <c r="P56" s="187" t="n"/>
      <c r="Q56" s="209">
        <f>IFERROR(AVERAGEIFS(Input!T16:V16,Input!T16:V16,"&gt;0"),0)</f>
        <v/>
      </c>
      <c r="R56" s="187" t="n"/>
      <c r="S56" s="187" t="n"/>
      <c r="T56" s="211">
        <f>IFERROR(SUM(Input!T12:V12)/SUM(Input!T15:V15),0)</f>
        <v/>
      </c>
      <c r="U56" s="187" t="n"/>
      <c r="V56" s="187" t="n"/>
      <c r="W56" s="212">
        <f>IFERROR(IFERROR(SUM(Input!T12:V12)/SUM(Input!T15:V15),0)/CAC_TARGET-1,0)</f>
        <v/>
      </c>
      <c r="X56" s="187" t="n"/>
      <c r="Y56" s="187" t="n"/>
      <c r="Z56" s="206">
        <f>IF(IFERROR(SUM(Input!T12:V12)/SUM(Input!T15:V15),0)=0,"NO DATA",IF(IFERROR(SUM(Input!T12:V12)/SUM(Input!T15:V15),0)&lt;=CAC_TARGET,"ON TRACK",IF(IFERROR(SUM(Input!T12:V12)/SUM(Input!T15:V15),0)&lt;=CAC_TARGET*1.15,"WATCH","OFF-TRACK")))</f>
        <v/>
      </c>
      <c r="AA56" s="187" t="n"/>
      <c r="AB56" s="187" t="n"/>
      <c r="AC56" s="187" t="n"/>
      <c r="AD56" s="187" t="n"/>
      <c r="AE56" s="187" t="n"/>
    </row>
    <row r="57" ht="18" customHeight="1" s="118">
      <c r="B57" s="200" t="inlineStr">
        <is>
          <t>Brand search</t>
        </is>
      </c>
      <c r="C57" s="187" t="n"/>
      <c r="D57" s="187" t="n"/>
      <c r="E57" s="187" t="n"/>
      <c r="F57" s="187" t="n"/>
      <c r="G57" s="187" t="n"/>
      <c r="H57" s="201">
        <f>SUM(Input!T33:V33)</f>
        <v/>
      </c>
      <c r="I57" s="187" t="n"/>
      <c r="J57" s="187" t="n"/>
      <c r="K57" s="187" t="n"/>
      <c r="L57" s="202">
        <f>IFERROR(SUM(Input!T33:V33)/SUM(Input!T117:V117),0)</f>
        <v/>
      </c>
      <c r="M57" s="187" t="n"/>
      <c r="N57" s="203">
        <f>SUM(Input!T36:V36)</f>
        <v/>
      </c>
      <c r="O57" s="187" t="n"/>
      <c r="P57" s="187" t="n"/>
      <c r="Q57" s="202">
        <f>IFERROR(AVERAGEIFS(Input!T37:V37,Input!T37:V37,"&gt;0"),0)</f>
        <v/>
      </c>
      <c r="R57" s="187" t="n"/>
      <c r="S57" s="187" t="n"/>
      <c r="T57" s="204">
        <f>IFERROR(SUM(Input!T33:V33)/SUM(Input!T36:V36),0)</f>
        <v/>
      </c>
      <c r="U57" s="187" t="n"/>
      <c r="V57" s="187" t="n"/>
      <c r="W57" s="205">
        <f>IFERROR(IFERROR(SUM(Input!T33:V33)/SUM(Input!T36:V36),0)/CAC_TARGET-1,0)</f>
        <v/>
      </c>
      <c r="X57" s="187" t="n"/>
      <c r="Y57" s="187" t="n"/>
      <c r="Z57" s="206">
        <f>IF(IFERROR(SUM(Input!T33:V33)/SUM(Input!T36:V36),0)=0,"NO DATA",IF(IFERROR(SUM(Input!T33:V33)/SUM(Input!T36:V36),0)&lt;=CAC_TARGET,"ON TRACK",IF(IFERROR(SUM(Input!T33:V33)/SUM(Input!T36:V36),0)&lt;=CAC_TARGET*1.15,"WATCH","OFF-TRACK")))</f>
        <v/>
      </c>
      <c r="AA57" s="187" t="n"/>
      <c r="AB57" s="187" t="n"/>
      <c r="AC57" s="187" t="n"/>
      <c r="AD57" s="187" t="n"/>
      <c r="AE57" s="187" t="n"/>
    </row>
    <row r="58" ht="18" customHeight="1" s="118">
      <c r="B58" s="207" t="inlineStr">
        <is>
          <t>LinkedIn</t>
        </is>
      </c>
      <c r="C58" s="187" t="n"/>
      <c r="D58" s="187" t="n"/>
      <c r="E58" s="187" t="n"/>
      <c r="F58" s="187" t="n"/>
      <c r="G58" s="187" t="n"/>
      <c r="H58" s="208">
        <f>SUM(Input!T19:V19)</f>
        <v/>
      </c>
      <c r="I58" s="187" t="n"/>
      <c r="J58" s="187" t="n"/>
      <c r="K58" s="187" t="n"/>
      <c r="L58" s="209">
        <f>IFERROR(SUM(Input!T19:V19)/SUM(Input!T117:V117),0)</f>
        <v/>
      </c>
      <c r="M58" s="187" t="n"/>
      <c r="N58" s="210">
        <f>SUM(Input!T22:V22)</f>
        <v/>
      </c>
      <c r="O58" s="187" t="n"/>
      <c r="P58" s="187" t="n"/>
      <c r="Q58" s="209">
        <f>IFERROR(AVERAGEIFS(Input!T23:V23,Input!T23:V23,"&gt;0"),0)</f>
        <v/>
      </c>
      <c r="R58" s="187" t="n"/>
      <c r="S58" s="187" t="n"/>
      <c r="T58" s="211">
        <f>IFERROR(SUM(Input!T19:V19)/SUM(Input!T22:V22),0)</f>
        <v/>
      </c>
      <c r="U58" s="187" t="n"/>
      <c r="V58" s="187" t="n"/>
      <c r="W58" s="212">
        <f>IFERROR(IFERROR(SUM(Input!T19:V19)/SUM(Input!T22:V22),0)/CAC_TARGET-1,0)</f>
        <v/>
      </c>
      <c r="X58" s="187" t="n"/>
      <c r="Y58" s="187" t="n"/>
      <c r="Z58" s="206">
        <f>IF(IFERROR(SUM(Input!T19:V19)/SUM(Input!T22:V22),0)=0,"NO DATA",IF(IFERROR(SUM(Input!T19:V19)/SUM(Input!T22:V22),0)&lt;=CAC_TARGET,"ON TRACK",IF(IFERROR(SUM(Input!T19:V19)/SUM(Input!T22:V22),0)&lt;=CAC_TARGET*1.15,"WATCH","OFF-TRACK")))</f>
        <v/>
      </c>
      <c r="AA58" s="187" t="n"/>
      <c r="AB58" s="187" t="n"/>
      <c r="AC58" s="187" t="n"/>
      <c r="AD58" s="187" t="n"/>
      <c r="AE58" s="187" t="n"/>
    </row>
    <row r="59" ht="18" customHeight="1" s="118">
      <c r="B59" s="200" t="inlineStr">
        <is>
          <t>Youtube</t>
        </is>
      </c>
      <c r="C59" s="187" t="n"/>
      <c r="D59" s="187" t="n"/>
      <c r="E59" s="187" t="n"/>
      <c r="F59" s="187" t="n"/>
      <c r="G59" s="187" t="n"/>
      <c r="H59" s="201">
        <f>SUM(Input!T26:V26)</f>
        <v/>
      </c>
      <c r="I59" s="187" t="n"/>
      <c r="J59" s="187" t="n"/>
      <c r="K59" s="187" t="n"/>
      <c r="L59" s="202">
        <f>IFERROR(SUM(Input!T26:V26)/SUM(Input!T117:V117),0)</f>
        <v/>
      </c>
      <c r="M59" s="187" t="n"/>
      <c r="N59" s="203">
        <f>SUM(Input!T29:V29)</f>
        <v/>
      </c>
      <c r="O59" s="187" t="n"/>
      <c r="P59" s="187" t="n"/>
      <c r="Q59" s="202">
        <f>IFERROR(AVERAGEIFS(Input!T30:V30,Input!T30:V30,"&gt;0"),0)</f>
        <v/>
      </c>
      <c r="R59" s="187" t="n"/>
      <c r="S59" s="187" t="n"/>
      <c r="T59" s="204">
        <f>IFERROR(SUM(Input!T26:V26)/SUM(Input!T29:V29),0)</f>
        <v/>
      </c>
      <c r="U59" s="187" t="n"/>
      <c r="V59" s="187" t="n"/>
      <c r="W59" s="205">
        <f>IFERROR(IFERROR(SUM(Input!T26:V26)/SUM(Input!T29:V29),0)/CAC_TARGET-1,0)</f>
        <v/>
      </c>
      <c r="X59" s="187" t="n"/>
      <c r="Y59" s="187" t="n"/>
      <c r="Z59" s="206">
        <f>IF(IFERROR(SUM(Input!T26:V26)/SUM(Input!T29:V29),0)=0,"NO DATA",IF(IFERROR(SUM(Input!T26:V26)/SUM(Input!T29:V29),0)&lt;=CAC_TARGET,"ON TRACK",IF(IFERROR(SUM(Input!T26:V26)/SUM(Input!T29:V29),0)&lt;=CAC_TARGET*1.15,"WATCH","OFF-TRACK")))</f>
        <v/>
      </c>
      <c r="AA59" s="187" t="n"/>
      <c r="AB59" s="187" t="n"/>
      <c r="AC59" s="187" t="n"/>
      <c r="AD59" s="187" t="n"/>
      <c r="AE59" s="187" t="n"/>
    </row>
    <row r="60" ht="18" customHeight="1" s="118">
      <c r="B60" s="207" t="inlineStr">
        <is>
          <t>Affiliates</t>
        </is>
      </c>
      <c r="C60" s="187" t="n"/>
      <c r="D60" s="187" t="n"/>
      <c r="E60" s="187" t="n"/>
      <c r="F60" s="187" t="n"/>
      <c r="G60" s="187" t="n"/>
      <c r="H60" s="208">
        <f>SUM(Input!T48:V48)</f>
        <v/>
      </c>
      <c r="I60" s="187" t="n"/>
      <c r="J60" s="187" t="n"/>
      <c r="K60" s="187" t="n"/>
      <c r="L60" s="209">
        <f>IFERROR(SUM(Input!T48:V48)/SUM(Input!T117:V117),0)</f>
        <v/>
      </c>
      <c r="M60" s="187" t="n"/>
      <c r="N60" s="210">
        <f>SUM(Input!T51:V51)</f>
        <v/>
      </c>
      <c r="O60" s="187" t="n"/>
      <c r="P60" s="187" t="n"/>
      <c r="Q60" s="209">
        <f>IFERROR(AVERAGEIFS(Input!T52:V52,Input!T52:V52,"&gt;0"),0)</f>
        <v/>
      </c>
      <c r="R60" s="187" t="n"/>
      <c r="S60" s="187" t="n"/>
      <c r="T60" s="211">
        <f>IFERROR(SUM(Input!T48:V48)/SUM(Input!T51:V51),0)</f>
        <v/>
      </c>
      <c r="U60" s="187" t="n"/>
      <c r="V60" s="187" t="n"/>
      <c r="W60" s="212">
        <f>IFERROR(IFERROR(SUM(Input!T48:V48)/SUM(Input!T51:V51),0)/CAC_TARGET-1,0)</f>
        <v/>
      </c>
      <c r="X60" s="187" t="n"/>
      <c r="Y60" s="187" t="n"/>
      <c r="Z60" s="206">
        <f>IF(IFERROR(SUM(Input!T48:V48)/SUM(Input!T51:V51),0)=0,"NO DATA",IF(IFERROR(SUM(Input!T48:V48)/SUM(Input!T51:V51),0)&lt;=CAC_TARGET,"ON TRACK",IF(IFERROR(SUM(Input!T48:V48)/SUM(Input!T51:V51),0)&lt;=CAC_TARGET*1.15,"WATCH","OFF-TRACK")))</f>
        <v/>
      </c>
      <c r="AA60" s="187" t="n"/>
      <c r="AB60" s="187" t="n"/>
      <c r="AC60" s="187" t="n"/>
      <c r="AD60" s="187" t="n"/>
      <c r="AE60" s="187" t="n"/>
    </row>
    <row r="61" ht="18" customHeight="1" s="118">
      <c r="B61" s="200" t="inlineStr">
        <is>
          <t>Influencers</t>
        </is>
      </c>
      <c r="C61" s="187" t="n"/>
      <c r="D61" s="187" t="n"/>
      <c r="E61" s="187" t="n"/>
      <c r="F61" s="187" t="n"/>
      <c r="G61" s="187" t="n"/>
      <c r="H61" s="201">
        <f>SUM(Input!T41:V41)</f>
        <v/>
      </c>
      <c r="I61" s="187" t="n"/>
      <c r="J61" s="187" t="n"/>
      <c r="K61" s="187" t="n"/>
      <c r="L61" s="202">
        <f>IFERROR(SUM(Input!T41:V41)/SUM(Input!T117:V117),0)</f>
        <v/>
      </c>
      <c r="M61" s="187" t="n"/>
      <c r="N61" s="203">
        <f>SUM(Input!T44:V44)</f>
        <v/>
      </c>
      <c r="O61" s="187" t="n"/>
      <c r="P61" s="187" t="n"/>
      <c r="Q61" s="202">
        <f>IFERROR(AVERAGEIFS(Input!T45:V45,Input!T45:V45,"&gt;0"),0)</f>
        <v/>
      </c>
      <c r="R61" s="187" t="n"/>
      <c r="S61" s="187" t="n"/>
      <c r="T61" s="204">
        <f>IFERROR(SUM(Input!T41:V41)/SUM(Input!T44:V44),0)</f>
        <v/>
      </c>
      <c r="U61" s="187" t="n"/>
      <c r="V61" s="187" t="n"/>
      <c r="W61" s="205">
        <f>IFERROR(IFERROR(SUM(Input!T41:V41)/SUM(Input!T44:V44),0)/CAC_TARGET-1,0)</f>
        <v/>
      </c>
      <c r="X61" s="187" t="n"/>
      <c r="Y61" s="187" t="n"/>
      <c r="Z61" s="206">
        <f>IF(IFERROR(SUM(Input!T41:V41)/SUM(Input!T44:V44),0)=0,"NO DATA",IF(IFERROR(SUM(Input!T41:V41)/SUM(Input!T44:V44),0)&lt;=CAC_TARGET,"ON TRACK",IF(IFERROR(SUM(Input!T41:V41)/SUM(Input!T44:V44),0)&lt;=CAC_TARGET*1.15,"WATCH","OFF-TRACK")))</f>
        <v/>
      </c>
      <c r="AA61" s="187" t="n"/>
      <c r="AB61" s="187" t="n"/>
      <c r="AC61" s="187" t="n"/>
      <c r="AD61" s="187" t="n"/>
      <c r="AE61" s="187" t="n"/>
    </row>
    <row r="62" ht="18" customHeight="1" s="118">
      <c r="B62" s="207" t="inlineStr">
        <is>
          <t>TV2</t>
        </is>
      </c>
      <c r="C62" s="187" t="n"/>
      <c r="D62" s="187" t="n"/>
      <c r="E62" s="187" t="n"/>
      <c r="F62" s="187" t="n"/>
      <c r="G62" s="187" t="n"/>
      <c r="H62" s="208">
        <f>SUM(Input!T71:V71)</f>
        <v/>
      </c>
      <c r="I62" s="187" t="n"/>
      <c r="J62" s="187" t="n"/>
      <c r="K62" s="187" t="n"/>
      <c r="L62" s="209">
        <f>IFERROR(SUM(Input!T71:V71)/SUM(Input!T117:V117),0)</f>
        <v/>
      </c>
      <c r="M62" s="187" t="n"/>
      <c r="N62" s="210">
        <f>SUM(Input!T74:V74)</f>
        <v/>
      </c>
      <c r="O62" s="187" t="n"/>
      <c r="P62" s="187" t="n"/>
      <c r="Q62" s="209">
        <f>IFERROR(AVERAGEIFS(Input!T75:V75,Input!T75:V75,"&gt;0"),0)</f>
        <v/>
      </c>
      <c r="R62" s="187" t="n"/>
      <c r="S62" s="187" t="n"/>
      <c r="T62" s="211">
        <f>IFERROR(SUM(Input!T71:V71)/SUM(Input!T74:V74),0)</f>
        <v/>
      </c>
      <c r="U62" s="187" t="n"/>
      <c r="V62" s="187" t="n"/>
      <c r="W62" s="212">
        <f>IFERROR(IFERROR(SUM(Input!T71:V71)/SUM(Input!T74:V74),0)/CAC_TARGET-1,0)</f>
        <v/>
      </c>
      <c r="X62" s="187" t="n"/>
      <c r="Y62" s="187" t="n"/>
      <c r="Z62" s="206">
        <f>IF(IFERROR(SUM(Input!T71:V71)/SUM(Input!T74:V74),0)=0,"NO DATA",IF(IFERROR(SUM(Input!T71:V71)/SUM(Input!T74:V74),0)&lt;=CAC_TARGET,"ON TRACK",IF(IFERROR(SUM(Input!T71:V71)/SUM(Input!T74:V74),0)&lt;=CAC_TARGET*1.15,"WATCH","OFF-TRACK")))</f>
        <v/>
      </c>
      <c r="AA62" s="187" t="n"/>
      <c r="AB62" s="187" t="n"/>
      <c r="AC62" s="187" t="n"/>
      <c r="AD62" s="187" t="n"/>
      <c r="AE62" s="187" t="n"/>
    </row>
    <row r="63" ht="18" customHeight="1" s="118">
      <c r="B63" s="200" t="inlineStr">
        <is>
          <t>Werner (LinkedIn)</t>
        </is>
      </c>
      <c r="C63" s="187" t="n"/>
      <c r="D63" s="187" t="n"/>
      <c r="E63" s="187" t="n"/>
      <c r="F63" s="187" t="n"/>
      <c r="G63" s="187" t="n"/>
      <c r="H63" s="201">
        <f>SUM(Input!T56:V56)</f>
        <v/>
      </c>
      <c r="I63" s="187" t="n"/>
      <c r="J63" s="187" t="n"/>
      <c r="K63" s="187" t="n"/>
      <c r="L63" s="202">
        <f>IFERROR(SUM(Input!T56:V56)/SUM(Input!T117:V117),0)</f>
        <v/>
      </c>
      <c r="M63" s="187" t="n"/>
      <c r="N63" s="203">
        <f>SUM(Input!T59:V59)</f>
        <v/>
      </c>
      <c r="O63" s="187" t="n"/>
      <c r="P63" s="187" t="n"/>
      <c r="Q63" s="202">
        <f>IFERROR(AVERAGEIFS(Input!T60:V60,Input!T60:V60,"&gt;0"),0)</f>
        <v/>
      </c>
      <c r="R63" s="187" t="n"/>
      <c r="S63" s="187" t="n"/>
      <c r="T63" s="204">
        <f>IFERROR(SUM(Input!T56:V56)/SUM(Input!T59:V59),0)</f>
        <v/>
      </c>
      <c r="U63" s="187" t="n"/>
      <c r="V63" s="187" t="n"/>
      <c r="W63" s="205">
        <f>IFERROR(IFERROR(SUM(Input!T56:V56)/SUM(Input!T59:V59),0)/CAC_TARGET-1,0)</f>
        <v/>
      </c>
      <c r="X63" s="187" t="n"/>
      <c r="Y63" s="187" t="n"/>
      <c r="Z63" s="206">
        <f>IF(IFERROR(SUM(Input!T56:V56)/SUM(Input!T59:V59),0)=0,"NO DATA",IF(IFERROR(SUM(Input!T56:V56)/SUM(Input!T59:V59),0)&lt;=CAC_TARGET,"ON TRACK",IF(IFERROR(SUM(Input!T56:V56)/SUM(Input!T59:V59),0)&lt;=CAC_TARGET*1.15,"WATCH","OFF-TRACK")))</f>
        <v/>
      </c>
      <c r="AA63" s="187" t="n"/>
      <c r="AB63" s="187" t="n"/>
      <c r="AC63" s="187" t="n"/>
      <c r="AD63" s="187" t="n"/>
      <c r="AE63" s="187" t="n"/>
    </row>
    <row r="64" ht="18" customHeight="1" s="118">
      <c r="B64" s="207" t="inlineStr">
        <is>
          <t>Other (internal)</t>
        </is>
      </c>
      <c r="C64" s="187" t="n"/>
      <c r="D64" s="187" t="n"/>
      <c r="E64" s="187" t="n"/>
      <c r="F64" s="187" t="n"/>
      <c r="G64" s="187" t="n"/>
      <c r="H64" s="208">
        <f>SUM(Input!T63:V63)</f>
        <v/>
      </c>
      <c r="I64" s="187" t="n"/>
      <c r="J64" s="187" t="n"/>
      <c r="K64" s="187" t="n"/>
      <c r="L64" s="209">
        <f>IFERROR(SUM(Input!T63:V63)/SUM(Input!T117:V117),0)</f>
        <v/>
      </c>
      <c r="M64" s="187" t="n"/>
      <c r="N64" s="210">
        <f>SUM(Input!T66:V66)</f>
        <v/>
      </c>
      <c r="O64" s="187" t="n"/>
      <c r="P64" s="187" t="n"/>
      <c r="Q64" s="209">
        <f>IFERROR(AVERAGEIFS(Input!T67:V67,Input!T67:V67,"&gt;0"),0)</f>
        <v/>
      </c>
      <c r="R64" s="187" t="n"/>
      <c r="S64" s="187" t="n"/>
      <c r="T64" s="211">
        <f>IFERROR(SUM(Input!T63:V63)/SUM(Input!T66:V66),0)</f>
        <v/>
      </c>
      <c r="U64" s="187" t="n"/>
      <c r="V64" s="187" t="n"/>
      <c r="W64" s="212">
        <f>IFERROR(IFERROR(SUM(Input!T63:V63)/SUM(Input!T66:V66),0)/CAC_TARGET-1,0)</f>
        <v/>
      </c>
      <c r="X64" s="187" t="n"/>
      <c r="Y64" s="187" t="n"/>
      <c r="Z64" s="206">
        <f>IF(IFERROR(SUM(Input!T63:V63)/SUM(Input!T66:V66),0)=0,"NO DATA",IF(IFERROR(SUM(Input!T63:V63)/SUM(Input!T66:V66),0)&lt;=CAC_TARGET,"ON TRACK",IF(IFERROR(SUM(Input!T63:V63)/SUM(Input!T66:V66),0)&lt;=CAC_TARGET*1.15,"WATCH","OFF-TRACK")))</f>
        <v/>
      </c>
      <c r="AA64" s="187" t="n"/>
      <c r="AB64" s="187" t="n"/>
      <c r="AC64" s="187" t="n"/>
      <c r="AD64" s="187" t="n"/>
      <c r="AE64" s="187" t="n"/>
    </row>
    <row r="65" ht="21.75" customHeight="1" s="118">
      <c r="B65" s="156" t="inlineStr">
        <is>
          <t>TOTAL — ALL PAID + PARTNER</t>
        </is>
      </c>
      <c r="H65" s="213">
        <f>SUM(Input!T117:V117)+SUM(Input!T120:V120)</f>
        <v/>
      </c>
      <c r="L65" s="214" t="n">
        <v>1</v>
      </c>
      <c r="N65" s="215">
        <f>SUM(Input!T118:V118)+SUM(Input!T121:V121)</f>
        <v/>
      </c>
      <c r="Q65" s="216">
        <f>IFERROR((SUM(Input!T118:V118)+SUM(Input!T121:V121))/SUM(Input!T114:V114),0)</f>
        <v/>
      </c>
      <c r="T65" s="217">
        <f>IFERROR((SUM(Input!T117:V117)+SUM(Input!T120:V120))/(SUM(Input!T118:V118)+SUM(Input!T121:V121)),0)</f>
        <v/>
      </c>
      <c r="W65" s="218">
        <f>IFERROR(IFERROR((SUM(Input!T117:V117)+SUM(Input!T120:V120))/(SUM(Input!T118:V118)+SUM(Input!T121:V121)),0)/CAC_TARGET-1,0)</f>
        <v/>
      </c>
      <c r="Z65" s="219" t="inlineStr">
        <is>
          <t>TOTAL</t>
        </is>
      </c>
    </row>
    <row r="66" ht="6" customHeight="1" s="118"/>
    <row r="67" ht="15.75" customHeight="1" s="118">
      <c r="B67" s="220" t="inlineStr">
        <is>
          <t>CAC per channel (last 3 months)</t>
        </is>
      </c>
      <c r="C67" s="187" t="n"/>
      <c r="D67" s="187" t="n"/>
      <c r="E67" s="187" t="n"/>
      <c r="F67" s="187" t="n"/>
      <c r="G67" s="187" t="n"/>
      <c r="H67" s="187" t="n"/>
      <c r="I67" s="187" t="n"/>
      <c r="J67" s="187" t="n"/>
      <c r="K67" s="187" t="n"/>
      <c r="L67" s="187" t="n"/>
      <c r="M67" s="187" t="n"/>
      <c r="N67" s="187" t="n"/>
      <c r="O67" s="187" t="n"/>
      <c r="P67" s="187" t="n"/>
      <c r="Q67" s="220" t="inlineStr">
        <is>
          <t>Spend mix — 3-month window</t>
        </is>
      </c>
      <c r="R67" s="187" t="n"/>
      <c r="S67" s="187" t="n"/>
      <c r="T67" s="187" t="n"/>
      <c r="U67" s="187" t="n"/>
      <c r="V67" s="187" t="n"/>
      <c r="W67" s="187" t="n"/>
      <c r="X67" s="187" t="n"/>
      <c r="Y67" s="187" t="n"/>
      <c r="Z67" s="187" t="n"/>
      <c r="AA67" s="187" t="n"/>
      <c r="AB67" s="187" t="n"/>
      <c r="AC67" s="187" t="n"/>
      <c r="AD67" s="187" t="n"/>
    </row>
    <row r="68" ht="12.75" customHeight="1" s="118"/>
    <row r="69" ht="12.75" customHeight="1" s="118"/>
    <row r="70" ht="12.75" customHeight="1" s="118"/>
    <row r="71" ht="12.75" customHeight="1" s="118"/>
    <row r="72" ht="12.75" customHeight="1" s="118"/>
    <row r="73" ht="12.75" customHeight="1" s="118"/>
    <row r="74" ht="12.75" customHeight="1" s="118"/>
    <row r="75" ht="12.75" customHeight="1" s="118"/>
    <row r="76" ht="12.75" customHeight="1" s="118"/>
    <row r="77" ht="12.75" customHeight="1" s="118"/>
    <row r="78" ht="12.75" customHeight="1" s="118"/>
    <row r="79" ht="12.75" customHeight="1" s="118"/>
    <row r="80" ht="12.75" customHeight="1" s="118"/>
    <row r="81" ht="12.75" customHeight="1" s="118"/>
    <row r="82" ht="12.75" customHeight="1" s="118"/>
    <row r="83" ht="1.5" customHeight="1" s="118">
      <c r="B83" s="221" t="inlineStr">
        <is>
          <t>Meta</t>
        </is>
      </c>
      <c r="C83" s="221" t="inlineStr">
        <is>
          <t>Google</t>
        </is>
      </c>
      <c r="D83" s="221" t="inlineStr">
        <is>
          <t>Brand search</t>
        </is>
      </c>
      <c r="E83" s="221" t="inlineStr">
        <is>
          <t>LinkedIn</t>
        </is>
      </c>
      <c r="F83" s="221" t="inlineStr">
        <is>
          <t>Youtube</t>
        </is>
      </c>
      <c r="G83" s="221" t="inlineStr">
        <is>
          <t>Affiliates</t>
        </is>
      </c>
      <c r="H83" s="221" t="inlineStr">
        <is>
          <t>Influencers</t>
        </is>
      </c>
      <c r="I83" s="221" t="inlineStr">
        <is>
          <t>TV2</t>
        </is>
      </c>
      <c r="J83" s="221" t="inlineStr">
        <is>
          <t>Werner (LinkedIn)</t>
        </is>
      </c>
      <c r="K83" s="221" t="inlineStr">
        <is>
          <t>Other (internal)</t>
        </is>
      </c>
    </row>
    <row r="84" ht="1.5" customHeight="1" s="118">
      <c r="B84" s="221">
        <f>IFERROR(SUM(Input!T5:V5)/SUM(Input!T8:V8),0)</f>
        <v/>
      </c>
      <c r="C84" s="221">
        <f>IFERROR(SUM(Input!T12:V12)/SUM(Input!T15:V15),0)</f>
        <v/>
      </c>
      <c r="D84" s="221">
        <f>IFERROR(SUM(Input!T33:V33)/SUM(Input!T36:V36),0)</f>
        <v/>
      </c>
      <c r="E84" s="221">
        <f>IFERROR(SUM(Input!T19:V19)/SUM(Input!T22:V22),0)</f>
        <v/>
      </c>
      <c r="F84" s="221">
        <f>IFERROR(SUM(Input!T26:V26)/SUM(Input!T29:V29),0)</f>
        <v/>
      </c>
      <c r="G84" s="221">
        <f>IFERROR(SUM(Input!T48:V48)/SUM(Input!T51:V51),0)</f>
        <v/>
      </c>
      <c r="H84" s="221">
        <f>IFERROR(SUM(Input!T41:V41)/SUM(Input!T44:V44),0)</f>
        <v/>
      </c>
      <c r="I84" s="221">
        <f>IFERROR(SUM(Input!T71:V71)/SUM(Input!T74:V74),0)</f>
        <v/>
      </c>
      <c r="J84" s="221">
        <f>IFERROR(SUM(Input!T56:V56)/SUM(Input!T59:V59),0)</f>
        <v/>
      </c>
      <c r="K84" s="221">
        <f>IFERROR(SUM(Input!T63:V63)/SUM(Input!T66:V66),0)</f>
        <v/>
      </c>
    </row>
    <row r="85" ht="1.5" customHeight="1" s="118">
      <c r="B85" s="221" t="inlineStr">
        <is>
          <t>Meta</t>
        </is>
      </c>
      <c r="C85" s="221" t="inlineStr">
        <is>
          <t>Google</t>
        </is>
      </c>
      <c r="D85" s="221" t="inlineStr">
        <is>
          <t>Brand search</t>
        </is>
      </c>
      <c r="E85" s="221" t="inlineStr">
        <is>
          <t>LinkedIn</t>
        </is>
      </c>
      <c r="F85" s="221" t="inlineStr">
        <is>
          <t>Youtube</t>
        </is>
      </c>
      <c r="G85" s="221" t="inlineStr">
        <is>
          <t>Affiliates</t>
        </is>
      </c>
      <c r="H85" s="221" t="inlineStr">
        <is>
          <t>Influencers</t>
        </is>
      </c>
      <c r="I85" s="221" t="inlineStr">
        <is>
          <t>TV2</t>
        </is>
      </c>
      <c r="J85" s="221" t="inlineStr">
        <is>
          <t>Werner (LinkedIn)</t>
        </is>
      </c>
      <c r="K85" s="221" t="inlineStr">
        <is>
          <t>Other (internal)</t>
        </is>
      </c>
    </row>
    <row r="86" ht="1.5" customHeight="1" s="118">
      <c r="B86" s="221">
        <f>SUM(Input!T5:V5)</f>
        <v/>
      </c>
      <c r="C86" s="221">
        <f>SUM(Input!T12:V12)</f>
        <v/>
      </c>
      <c r="D86" s="221">
        <f>SUM(Input!T33:V33)</f>
        <v/>
      </c>
      <c r="E86" s="221">
        <f>SUM(Input!T19:V19)</f>
        <v/>
      </c>
      <c r="F86" s="221">
        <f>SUM(Input!T26:V26)</f>
        <v/>
      </c>
      <c r="G86" s="221">
        <f>SUM(Input!T48:V48)</f>
        <v/>
      </c>
      <c r="H86" s="221">
        <f>SUM(Input!T41:V41)</f>
        <v/>
      </c>
      <c r="I86" s="221">
        <f>SUM(Input!T71:V71)</f>
        <v/>
      </c>
      <c r="J86" s="221">
        <f>SUM(Input!T56:V56)</f>
        <v/>
      </c>
      <c r="K86" s="221">
        <f>SUM(Input!T63:V63)</f>
        <v/>
      </c>
    </row>
    <row r="87" ht="6" customHeight="1" s="118"/>
    <row r="88" ht="19.5" customHeight="1" s="118">
      <c r="B88" s="125" t="inlineStr">
        <is>
          <t>UNIT ECONOMICS — CURRENT MONTH</t>
        </is>
      </c>
    </row>
    <row r="89" ht="13.5" customHeight="1" s="118">
      <c r="B89" s="172" t="inlineStr">
        <is>
          <t>LTV (Gross)</t>
        </is>
      </c>
      <c r="C89" s="173" t="n"/>
      <c r="D89" s="173" t="n"/>
      <c r="E89" s="173" t="n"/>
      <c r="F89" s="173" t="n"/>
      <c r="G89" s="173" t="n"/>
      <c r="H89" s="174" t="n"/>
      <c r="I89" s="172" t="inlineStr">
        <is>
          <t>Contribution</t>
        </is>
      </c>
      <c r="J89" s="173" t="n"/>
      <c r="K89" s="173" t="n"/>
      <c r="L89" s="173" t="n"/>
      <c r="M89" s="173" t="n"/>
      <c r="N89" s="173" t="n"/>
      <c r="O89" s="174" t="n"/>
      <c r="P89" s="172" t="inlineStr">
        <is>
          <t>Blended CAC</t>
        </is>
      </c>
      <c r="Q89" s="173" t="n"/>
      <c r="R89" s="173" t="n"/>
      <c r="S89" s="173" t="n"/>
      <c r="T89" s="173" t="n"/>
      <c r="U89" s="173" t="n"/>
      <c r="V89" s="173" t="n"/>
      <c r="W89" s="174" t="n"/>
      <c r="X89" s="172" t="inlineStr">
        <is>
          <t>CAC Payback</t>
        </is>
      </c>
      <c r="Y89" s="173" t="n"/>
      <c r="Z89" s="173" t="n"/>
      <c r="AA89" s="173" t="n"/>
      <c r="AB89" s="173" t="n"/>
      <c r="AC89" s="173" t="n"/>
      <c r="AD89" s="174" t="n"/>
    </row>
    <row r="90" ht="13.5" customHeight="1" s="118">
      <c r="B90" s="222" t="inlineStr">
        <is>
          <t>–</t>
        </is>
      </c>
      <c r="H90" s="176" t="n"/>
      <c r="I90" s="222" t="inlineStr">
        <is>
          <t>–</t>
        </is>
      </c>
      <c r="O90" s="176" t="n"/>
      <c r="P90" s="222">
        <f>Input!V112</f>
        <v/>
      </c>
      <c r="W90" s="176" t="n"/>
      <c r="X90" s="223">
        <f>IFERROR(Input!V112/(ltv*margin_pct/customer_lifetime),0)</f>
        <v/>
      </c>
      <c r="AD90" s="176" t="n"/>
    </row>
    <row r="91" ht="13.5" customHeight="1" s="118">
      <c r="B91" s="196" t="n"/>
      <c r="H91" s="176" t="n"/>
      <c r="I91" s="196" t="n"/>
      <c r="O91" s="176" t="n"/>
      <c r="P91" s="196" t="n"/>
      <c r="W91" s="176" t="n"/>
      <c r="X91" s="196" t="n"/>
      <c r="AD91" s="176" t="n"/>
    </row>
    <row r="92" ht="13.5" customHeight="1" s="118">
      <c r="B92" s="224" t="inlineStr">
        <is>
          <t>Per-customer lifetime value (gross)</t>
        </is>
      </c>
      <c r="C92" s="187" t="n"/>
      <c r="D92" s="187" t="n"/>
      <c r="E92" s="187" t="n"/>
      <c r="F92" s="187" t="n"/>
      <c r="G92" s="187" t="n"/>
      <c r="H92" s="188" t="n"/>
      <c r="I92" s="224" t="inlineStr">
        <is>
          <t>LTV × gross margin</t>
        </is>
      </c>
      <c r="J92" s="187" t="n"/>
      <c r="K92" s="187" t="n"/>
      <c r="L92" s="187" t="n"/>
      <c r="M92" s="187" t="n"/>
      <c r="N92" s="187" t="n"/>
      <c r="O92" s="188" t="n"/>
      <c r="P92" s="224" t="inlineStr">
        <is>
          <t>This month (vs target 300 kr)</t>
        </is>
      </c>
      <c r="Q92" s="187" t="n"/>
      <c r="R92" s="187" t="n"/>
      <c r="S92" s="187" t="n"/>
      <c r="T92" s="187" t="n"/>
      <c r="U92" s="187" t="n"/>
      <c r="V92" s="187" t="n"/>
      <c r="W92" s="188" t="n"/>
      <c r="X92" s="224" t="inlineStr">
        <is>
          <t>(CAC) / (LTV × Margin / Lifetime)</t>
        </is>
      </c>
      <c r="Y92" s="187" t="n"/>
      <c r="Z92" s="187" t="n"/>
      <c r="AA92" s="187" t="n"/>
      <c r="AB92" s="187" t="n"/>
      <c r="AC92" s="187" t="n"/>
      <c r="AD92" s="188" t="n"/>
    </row>
    <row r="94" ht="19.5" customHeight="1" s="118">
      <c r="B94" s="225" t="inlineStr">
        <is>
          <t>Assumptions (Konfig): LTV=3,600 kr · Gross margin=40% · Customer lifetime=24 months · Payback target≤12 months · Target CAC=300 kr. Adjust in Konfig to update model.</t>
        </is>
      </c>
    </row>
    <row r="96" ht="19.5" customHeight="1" s="118">
      <c r="B96" s="226">
        <f>"LTV:CAC ratio = "&amp;TEXT(IFERROR((ltv*margin_pct)/Input!V112,0),"0.00")&amp;"x  ·  "&amp;IF(IFERROR((ltv*margin_pct)/Input!V112,0)&gt;=3,"Healthy unit economics — scale marketing.","Below 3.0x — optimize CAC before scaling spend.")</f>
        <v/>
      </c>
      <c r="C96" s="227" t="n"/>
      <c r="D96" s="227" t="n"/>
      <c r="E96" s="227" t="n"/>
      <c r="F96" s="227" t="n"/>
      <c r="G96" s="227" t="n"/>
      <c r="H96" s="227" t="n"/>
      <c r="I96" s="227" t="n"/>
      <c r="J96" s="227" t="n"/>
      <c r="K96" s="227" t="n"/>
      <c r="L96" s="227" t="n"/>
      <c r="M96" s="227" t="n"/>
      <c r="N96" s="227" t="n"/>
      <c r="O96" s="227" t="n"/>
      <c r="P96" s="227" t="n"/>
      <c r="Q96" s="227" t="n"/>
      <c r="R96" s="227" t="n"/>
      <c r="S96" s="227" t="n"/>
      <c r="T96" s="227" t="n"/>
      <c r="U96" s="227" t="n"/>
      <c r="V96" s="227" t="n"/>
      <c r="W96" s="227" t="n"/>
      <c r="X96" s="227" t="n"/>
      <c r="Y96" s="227" t="n"/>
      <c r="Z96" s="227" t="n"/>
      <c r="AA96" s="227" t="n"/>
      <c r="AB96" s="227" t="n"/>
      <c r="AC96" s="227" t="n"/>
      <c r="AD96" s="228" t="n"/>
    </row>
    <row r="97" ht="6" customHeight="1" s="118"/>
    <row r="98" ht="6" customHeight="1" s="118"/>
    <row r="99" ht="6" customHeight="1" s="118"/>
    <row r="100" ht="6" customHeight="1" s="118"/>
    <row r="101" ht="6" customHeight="1" s="118"/>
    <row r="102" ht="21.75" customHeight="1" s="118">
      <c r="B102" s="155" t="inlineStr">
        <is>
          <t>GROWTH ENGINES &amp; COMMENTARY</t>
        </is>
      </c>
    </row>
    <row r="104" ht="19.5" customHeight="1" s="118">
      <c r="B104" s="189" t="inlineStr">
        <is>
          <t>PARTNERSHIP — MELIORA VENTURES</t>
        </is>
      </c>
      <c r="C104" s="187" t="n"/>
      <c r="D104" s="187" t="n"/>
      <c r="E104" s="187" t="n"/>
      <c r="F104" s="187" t="n"/>
      <c r="G104" s="187" t="n"/>
      <c r="H104" s="187" t="n"/>
      <c r="I104" s="187" t="n"/>
      <c r="J104" s="187" t="n"/>
      <c r="K104" s="187" t="n"/>
      <c r="L104" s="187" t="n"/>
      <c r="M104" s="187" t="n"/>
      <c r="N104" s="187" t="n"/>
      <c r="O104" s="187" t="n"/>
      <c r="P104" s="187" t="n"/>
      <c r="Q104" s="189" t="inlineStr">
        <is>
          <t>REGNINGSTJEK — PLG FUNNEL</t>
        </is>
      </c>
      <c r="R104" s="187" t="n"/>
      <c r="S104" s="187" t="n"/>
      <c r="T104" s="187" t="n"/>
      <c r="U104" s="187" t="n"/>
      <c r="V104" s="187" t="n"/>
      <c r="W104" s="187" t="n"/>
      <c r="X104" s="187" t="n"/>
      <c r="Y104" s="187" t="n"/>
      <c r="Z104" s="187" t="n"/>
      <c r="AA104" s="187" t="n"/>
      <c r="AB104" s="187" t="n"/>
      <c r="AC104" s="187" t="n"/>
      <c r="AD104" s="187" t="n"/>
    </row>
    <row r="106" ht="13.5" customHeight="1" s="118">
      <c r="B106" s="229" t="inlineStr">
        <is>
          <t>Sign-ups (3M)</t>
        </is>
      </c>
      <c r="C106" s="173" t="n"/>
      <c r="D106" s="173" t="n"/>
      <c r="E106" s="174" t="n"/>
      <c r="F106" s="229" t="inlineStr">
        <is>
          <t>Partner CAC (3M)</t>
        </is>
      </c>
      <c r="G106" s="173" t="n"/>
      <c r="H106" s="173" t="n"/>
      <c r="I106" s="174" t="n"/>
      <c r="J106" s="229" t="inlineStr">
        <is>
          <t>Hours used (Total)</t>
        </is>
      </c>
      <c r="K106" s="173" t="n"/>
      <c r="L106" s="173" t="n"/>
      <c r="M106" s="174" t="n"/>
      <c r="N106" s="229" t="inlineStr">
        <is>
          <t>% Completion</t>
        </is>
      </c>
      <c r="O106" s="173" t="n"/>
      <c r="P106" s="174" t="n"/>
      <c r="Q106" s="229" t="inlineStr">
        <is>
          <t>Uploads (3M)</t>
        </is>
      </c>
      <c r="R106" s="173" t="n"/>
      <c r="S106" s="173" t="n"/>
      <c r="T106" s="174" t="n"/>
      <c r="U106" s="229" t="inlineStr">
        <is>
          <t>New customers (3M)</t>
        </is>
      </c>
      <c r="V106" s="173" t="n"/>
      <c r="W106" s="173" t="n"/>
      <c r="X106" s="174" t="n"/>
      <c r="Y106" s="229" t="inlineStr">
        <is>
          <t>Regningstjek CAC (3M)</t>
        </is>
      </c>
      <c r="Z106" s="173" t="n"/>
      <c r="AA106" s="173" t="n"/>
      <c r="AB106" s="173" t="n"/>
      <c r="AC106" s="173" t="n"/>
      <c r="AD106" s="174" t="n"/>
    </row>
    <row r="107" ht="13.5" customHeight="1" s="118">
      <c r="B107" s="230">
        <f>SUM(Input!T100:V100)</f>
        <v/>
      </c>
      <c r="E107" s="176" t="n"/>
      <c r="F107" s="231">
        <f>IFERROR(SUM(Input!T99:V99)/SUM(Input!T100:V100),0)</f>
        <v/>
      </c>
      <c r="I107" s="176" t="n"/>
      <c r="J107" s="232">
        <f>SUM(Input!D96:V96)</f>
        <v/>
      </c>
      <c r="M107" s="176" t="n"/>
      <c r="N107" s="233">
        <f>IFERROR(SUM(Input!D96:V96)/KONTRAKT_TIMER,0)</f>
        <v/>
      </c>
      <c r="P107" s="176" t="n"/>
      <c r="Q107" s="230">
        <f>SUM(Input!T104:V104)</f>
        <v/>
      </c>
      <c r="T107" s="176" t="n"/>
      <c r="U107" s="230">
        <f>SUM(Input!T105:V105)</f>
        <v/>
      </c>
      <c r="X107" s="176" t="n"/>
      <c r="Y107" s="231">
        <f>IFERROR(SUM(Input!T106:V106)/SUM(Input!T105:V105),0)</f>
        <v/>
      </c>
      <c r="AD107" s="176" t="n"/>
    </row>
    <row r="108" ht="13.5" customHeight="1" s="118">
      <c r="B108" s="197" t="n"/>
      <c r="C108" s="187" t="n"/>
      <c r="D108" s="187" t="n"/>
      <c r="E108" s="188" t="n"/>
      <c r="F108" s="197" t="n"/>
      <c r="G108" s="187" t="n"/>
      <c r="H108" s="187" t="n"/>
      <c r="I108" s="188" t="n"/>
      <c r="J108" s="197" t="n"/>
      <c r="K108" s="187" t="n"/>
      <c r="L108" s="187" t="n"/>
      <c r="M108" s="188" t="n"/>
      <c r="N108" s="197" t="n"/>
      <c r="O108" s="187" t="n"/>
      <c r="P108" s="188" t="n"/>
      <c r="Q108" s="197" t="n"/>
      <c r="R108" s="187" t="n"/>
      <c r="S108" s="187" t="n"/>
      <c r="T108" s="188" t="n"/>
      <c r="U108" s="197" t="n"/>
      <c r="V108" s="187" t="n"/>
      <c r="W108" s="187" t="n"/>
      <c r="X108" s="188" t="n"/>
      <c r="Y108" s="197" t="n"/>
      <c r="Z108" s="187" t="n"/>
      <c r="AA108" s="187" t="n"/>
      <c r="AB108" s="187" t="n"/>
      <c r="AC108" s="187" t="n"/>
      <c r="AD108" s="188" t="n"/>
    </row>
    <row r="110" ht="13.5" customHeight="1" s="118">
      <c r="B110" s="234" t="inlineStr">
        <is>
          <t>Hours completion vs contracted</t>
        </is>
      </c>
      <c r="Q110" s="234" t="inlineStr">
        <is>
          <t>Upload → customer conversion (3M)</t>
        </is>
      </c>
    </row>
    <row r="111" ht="15" customHeight="1" s="118">
      <c r="B111" s="235">
        <f>"["&amp;REPT("■",ROUND(IFERROR(SUM(Input!D96:V96)/KONTRAKT_TIMER,0)*30,0))&amp;REPT("·",30-ROUND(IFERROR(SUM(Input!D96:V96)/KONTRAKT_TIMER,0)*30,0))&amp;"]  "&amp;TEXT(IFERROR(SUM(Input!D96:V96)/KONTRAKT_TIMER,0),"0%")&amp;" of "&amp;KONTRAKT_TIMER&amp;" contracted hours used"</f>
        <v/>
      </c>
      <c r="C111" s="173" t="n"/>
      <c r="D111" s="173" t="n"/>
      <c r="E111" s="173" t="n"/>
      <c r="F111" s="173" t="n"/>
      <c r="G111" s="173" t="n"/>
      <c r="H111" s="173" t="n"/>
      <c r="I111" s="173" t="n"/>
      <c r="J111" s="173" t="n"/>
      <c r="K111" s="173" t="n"/>
      <c r="L111" s="173" t="n"/>
      <c r="M111" s="173" t="n"/>
      <c r="N111" s="173" t="n"/>
      <c r="O111" s="173" t="n"/>
      <c r="P111" s="174" t="n"/>
      <c r="Q111" s="235">
        <f>"Upload → Customer conversion: "&amp;TEXT(IFERROR(SUM(Input!T105:V105)/SUM(Input!T104:V104),0),"0.0%")&amp;"   ·   "&amp;SUM(Input!T104:V104)&amp;" uploads → "&amp;SUM(Input!T105:V105)&amp;" customers"</f>
        <v/>
      </c>
      <c r="R111" s="173" t="n"/>
      <c r="S111" s="173" t="n"/>
      <c r="T111" s="173" t="n"/>
      <c r="U111" s="173" t="n"/>
      <c r="V111" s="173" t="n"/>
      <c r="W111" s="173" t="n"/>
      <c r="X111" s="173" t="n"/>
      <c r="Y111" s="173" t="n"/>
      <c r="Z111" s="173" t="n"/>
      <c r="AA111" s="173" t="n"/>
      <c r="AB111" s="173" t="n"/>
      <c r="AC111" s="173" t="n"/>
      <c r="AD111" s="174" t="n"/>
    </row>
    <row r="112" ht="15" customHeight="1" s="118">
      <c r="B112" s="196" t="n"/>
      <c r="P112" s="176" t="n"/>
      <c r="Q112" s="196" t="n"/>
      <c r="AD112" s="176" t="n"/>
    </row>
    <row r="113" ht="15" customHeight="1" s="118">
      <c r="B113" s="197" t="n"/>
      <c r="C113" s="187" t="n"/>
      <c r="D113" s="187" t="n"/>
      <c r="E113" s="187" t="n"/>
      <c r="F113" s="187" t="n"/>
      <c r="G113" s="187" t="n"/>
      <c r="H113" s="187" t="n"/>
      <c r="I113" s="187" t="n"/>
      <c r="J113" s="187" t="n"/>
      <c r="K113" s="187" t="n"/>
      <c r="L113" s="187" t="n"/>
      <c r="M113" s="187" t="n"/>
      <c r="N113" s="187" t="n"/>
      <c r="O113" s="187" t="n"/>
      <c r="P113" s="188" t="n"/>
      <c r="Q113" s="197" t="n"/>
      <c r="R113" s="187" t="n"/>
      <c r="S113" s="187" t="n"/>
      <c r="T113" s="187" t="n"/>
      <c r="U113" s="187" t="n"/>
      <c r="V113" s="187" t="n"/>
      <c r="W113" s="187" t="n"/>
      <c r="X113" s="187" t="n"/>
      <c r="Y113" s="187" t="n"/>
      <c r="Z113" s="187" t="n"/>
      <c r="AA113" s="187" t="n"/>
      <c r="AB113" s="187" t="n"/>
      <c r="AC113" s="187" t="n"/>
      <c r="AD113" s="188" t="n"/>
    </row>
    <row r="115" ht="12.75" customHeight="1" s="118"/>
    <row r="116" ht="12.75" customHeight="1" s="118"/>
    <row r="117" ht="12.75" customHeight="1" s="118"/>
    <row r="118" ht="12.75" customHeight="1" s="118"/>
    <row r="119" ht="12.75" customHeight="1" s="118"/>
    <row r="120" ht="12.75" customHeight="1" s="118"/>
    <row r="121" ht="12.75" customHeight="1" s="118"/>
    <row r="122" ht="12.75" customHeight="1" s="118"/>
    <row r="123" ht="12.75" customHeight="1" s="118"/>
    <row r="124" ht="12.75" customHeight="1" s="118"/>
    <row r="125" ht="12.75" customHeight="1" s="118"/>
    <row r="126" ht="12.75" customHeight="1" s="118"/>
    <row r="127" ht="12.75" customHeight="1" s="118"/>
    <row r="128" ht="6" customHeight="1" s="118"/>
    <row r="129" ht="19.5" customHeight="1" s="118">
      <c r="B129" s="125">
        <f>"COMMENTARY — "&amp;UPPER(TEXT(Input!V$3,"mmmm yyyy"))</f>
        <v/>
      </c>
    </row>
    <row r="131" ht="25.5" customHeight="1" s="118">
      <c r="B131" s="236">
        <f>IFERROR(Kommentarer!U5,"")</f>
        <v/>
      </c>
    </row>
    <row r="133" ht="18" customHeight="1" s="118">
      <c r="B133" s="237">
        <f>IFERROR(Kommentarer!U6,"")</f>
        <v/>
      </c>
      <c r="C133" s="173" t="n"/>
      <c r="D133" s="173" t="n"/>
      <c r="E133" s="173" t="n"/>
      <c r="F133" s="173" t="n"/>
      <c r="G133" s="173" t="n"/>
      <c r="H133" s="173" t="n"/>
      <c r="I133" s="173" t="n"/>
      <c r="J133" s="173" t="n"/>
      <c r="K133" s="173" t="n"/>
      <c r="L133" s="173" t="n"/>
      <c r="M133" s="173" t="n"/>
      <c r="N133" s="173" t="n"/>
      <c r="O133" s="173" t="n"/>
      <c r="P133" s="173" t="n"/>
      <c r="Q133" s="173" t="n"/>
      <c r="R133" s="173" t="n"/>
      <c r="S133" s="173" t="n"/>
      <c r="T133" s="173" t="n"/>
      <c r="U133" s="173" t="n"/>
      <c r="V133" s="173" t="n"/>
      <c r="W133" s="173" t="n"/>
      <c r="X133" s="173" t="n"/>
      <c r="Y133" s="173" t="n"/>
      <c r="Z133" s="173" t="n"/>
      <c r="AA133" s="173" t="n"/>
      <c r="AB133" s="173" t="n"/>
      <c r="AC133" s="173" t="n"/>
      <c r="AD133" s="174" t="n"/>
    </row>
    <row r="134" ht="18" customHeight="1" s="118">
      <c r="B134" s="196" t="n"/>
      <c r="AD134" s="176" t="n"/>
    </row>
    <row r="135" ht="18" customHeight="1" s="118">
      <c r="B135" s="197" t="n"/>
      <c r="C135" s="187" t="n"/>
      <c r="D135" s="187" t="n"/>
      <c r="E135" s="187" t="n"/>
      <c r="F135" s="187" t="n"/>
      <c r="G135" s="187" t="n"/>
      <c r="H135" s="187" t="n"/>
      <c r="I135" s="187" t="n"/>
      <c r="J135" s="187" t="n"/>
      <c r="K135" s="187" t="n"/>
      <c r="L135" s="187" t="n"/>
      <c r="M135" s="187" t="n"/>
      <c r="N135" s="187" t="n"/>
      <c r="O135" s="187" t="n"/>
      <c r="P135" s="187" t="n"/>
      <c r="Q135" s="187" t="n"/>
      <c r="R135" s="187" t="n"/>
      <c r="S135" s="187" t="n"/>
      <c r="T135" s="187" t="n"/>
      <c r="U135" s="187" t="n"/>
      <c r="V135" s="187" t="n"/>
      <c r="W135" s="187" t="n"/>
      <c r="X135" s="187" t="n"/>
      <c r="Y135" s="187" t="n"/>
      <c r="Z135" s="187" t="n"/>
      <c r="AA135" s="187" t="n"/>
      <c r="AB135" s="187" t="n"/>
      <c r="AC135" s="187" t="n"/>
      <c r="AD135" s="188" t="n"/>
    </row>
    <row r="137" ht="15" customHeight="1" s="118">
      <c r="B137" s="238" t="inlineStr">
        <is>
          <t>Key insight</t>
        </is>
      </c>
      <c r="Q137" s="238" t="inlineStr">
        <is>
          <t>Market / competitive note</t>
        </is>
      </c>
    </row>
    <row r="138" ht="15.75" customHeight="1" s="118">
      <c r="B138" s="237">
        <f>IFERROR(Kommentarer!U16,"")</f>
        <v/>
      </c>
      <c r="C138" s="173" t="n"/>
      <c r="D138" s="173" t="n"/>
      <c r="E138" s="173" t="n"/>
      <c r="F138" s="173" t="n"/>
      <c r="G138" s="173" t="n"/>
      <c r="H138" s="173" t="n"/>
      <c r="I138" s="173" t="n"/>
      <c r="J138" s="173" t="n"/>
      <c r="K138" s="173" t="n"/>
      <c r="L138" s="173" t="n"/>
      <c r="M138" s="173" t="n"/>
      <c r="N138" s="173" t="n"/>
      <c r="O138" s="173" t="n"/>
      <c r="P138" s="174" t="n"/>
      <c r="Q138" s="237">
        <f>IFERROR(Kommentarer!U17,"")</f>
        <v/>
      </c>
      <c r="R138" s="173" t="n"/>
      <c r="S138" s="173" t="n"/>
      <c r="T138" s="173" t="n"/>
      <c r="U138" s="173" t="n"/>
      <c r="V138" s="173" t="n"/>
      <c r="W138" s="173" t="n"/>
      <c r="X138" s="173" t="n"/>
      <c r="Y138" s="173" t="n"/>
      <c r="Z138" s="173" t="n"/>
      <c r="AA138" s="173" t="n"/>
      <c r="AB138" s="173" t="n"/>
      <c r="AC138" s="173" t="n"/>
      <c r="AD138" s="174" t="n"/>
    </row>
    <row r="139" ht="15.75" customHeight="1" s="118">
      <c r="B139" s="196" t="n"/>
      <c r="P139" s="176" t="n"/>
      <c r="Q139" s="196" t="n"/>
      <c r="AD139" s="176" t="n"/>
    </row>
    <row r="140" ht="15.75" customHeight="1" s="118">
      <c r="B140" s="196" t="n"/>
      <c r="P140" s="176" t="n"/>
      <c r="Q140" s="196" t="n"/>
      <c r="AD140" s="176" t="n"/>
    </row>
    <row r="141" ht="15.75" customHeight="1" s="118">
      <c r="B141" s="197" t="n"/>
      <c r="C141" s="187" t="n"/>
      <c r="D141" s="187" t="n"/>
      <c r="E141" s="187" t="n"/>
      <c r="F141" s="187" t="n"/>
      <c r="G141" s="187" t="n"/>
      <c r="H141" s="187" t="n"/>
      <c r="I141" s="187" t="n"/>
      <c r="J141" s="187" t="n"/>
      <c r="K141" s="187" t="n"/>
      <c r="L141" s="187" t="n"/>
      <c r="M141" s="187" t="n"/>
      <c r="N141" s="187" t="n"/>
      <c r="O141" s="187" t="n"/>
      <c r="P141" s="188" t="n"/>
      <c r="Q141" s="197" t="n"/>
      <c r="R141" s="187" t="n"/>
      <c r="S141" s="187" t="n"/>
      <c r="T141" s="187" t="n"/>
      <c r="U141" s="187" t="n"/>
      <c r="V141" s="187" t="n"/>
      <c r="W141" s="187" t="n"/>
      <c r="X141" s="187" t="n"/>
      <c r="Y141" s="187" t="n"/>
      <c r="Z141" s="187" t="n"/>
      <c r="AA141" s="187" t="n"/>
      <c r="AB141" s="187" t="n"/>
      <c r="AC141" s="187" t="n"/>
      <c r="AD141" s="188" t="n"/>
    </row>
    <row r="142" ht="6" customHeight="1" s="118"/>
    <row r="143" ht="6" customHeight="1" s="118"/>
    <row r="144" ht="18" customHeight="1" s="118">
      <c r="B144" s="156" t="inlineStr">
        <is>
          <t>APPENDIX — DEFINITIONS &amp; METHODOLOGY</t>
        </is>
      </c>
    </row>
    <row r="145" ht="15.75" customHeight="1" s="118">
      <c r="B145" s="239" t="inlineStr">
        <is>
          <t>CAC</t>
        </is>
      </c>
      <c r="F145" s="240" t="inlineStr">
        <is>
          <t>Total marketing spend / total new customers (blended).</t>
        </is>
      </c>
      <c r="Q145" s="239" t="inlineStr">
        <is>
          <t>LTV (gross)</t>
        </is>
      </c>
      <c r="U145" s="240" t="inlineStr">
        <is>
          <t>Estimated lifetime revenue per customer.</t>
        </is>
      </c>
    </row>
    <row r="146" ht="15.75" customHeight="1" s="118">
      <c r="B146" s="239" t="inlineStr">
        <is>
          <t>Contribution</t>
        </is>
      </c>
      <c r="F146" s="240" t="inlineStr">
        <is>
          <t>LTV × gross margin (kontributionsmargin).</t>
        </is>
      </c>
      <c r="Q146" s="239" t="inlineStr">
        <is>
          <t>CAC Payback</t>
        </is>
      </c>
      <c r="U146" s="240" t="inlineStr">
        <is>
          <t>CAC / (LTV × margin / customer lifetime).</t>
        </is>
      </c>
    </row>
    <row r="147" ht="15.75" customHeight="1" s="118">
      <c r="B147" s="239" t="inlineStr">
        <is>
          <t>LTV:CAC</t>
        </is>
      </c>
      <c r="F147" s="240" t="inlineStr">
        <is>
          <t>(LTV × margin) / CAC — healthy ≥ 3.0x.</t>
        </is>
      </c>
      <c r="Q147" s="239" t="inlineStr">
        <is>
          <t>CVR (blended)</t>
        </is>
      </c>
      <c r="U147" s="240" t="inlineStr">
        <is>
          <t>Total sign-ups / total paid visitors.</t>
        </is>
      </c>
    </row>
    <row r="148" ht="15.75" customHeight="1" s="118">
      <c r="B148" s="239" t="inlineStr">
        <is>
          <t>3M window</t>
        </is>
      </c>
      <c r="F148" s="240" t="inlineStr">
        <is>
          <t>Rolling 3-month period ending reporting month.</t>
        </is>
      </c>
      <c r="Q148" s="239" t="inlineStr">
        <is>
          <t>Status</t>
        </is>
      </c>
      <c r="U148" s="240" t="inlineStr">
        <is>
          <t>Green = on target · Orange = within 10-15% · Red = off-track.</t>
        </is>
      </c>
    </row>
    <row r="151" ht="13.5" customHeight="1" s="118">
      <c r="B151" s="241" t="inlineStr">
        <is>
          <t>Altid Energi · Marketing performance report · Monthly · Source: Input sheet (CMO/CFO entries) + Konfig (assumptions) + Kommentarer (narrative).</t>
        </is>
      </c>
    </row>
    <row r="152" ht="6" customHeight="1" s="118"/>
    <row r="153" ht="6" customHeight="1" s="118"/>
    <row r="154" ht="6" customHeight="1" s="118"/>
    <row r="155" ht="6" customHeight="1" s="118"/>
  </sheetData>
  <mergeCells count="207">
    <mergeCell ref="B146:E146"/>
    <mergeCell ref="B7:F7"/>
    <mergeCell ref="T55:V55"/>
    <mergeCell ref="L7:P7"/>
    <mergeCell ref="Y107:AD108"/>
    <mergeCell ref="Z62:AE62"/>
    <mergeCell ref="Z56:AE56"/>
    <mergeCell ref="J106:M106"/>
    <mergeCell ref="V8:Z8"/>
    <mergeCell ref="Z64:AE64"/>
    <mergeCell ref="B102:AD102"/>
    <mergeCell ref="B137:P137"/>
    <mergeCell ref="AA6:AE6"/>
    <mergeCell ref="V10:Z10"/>
    <mergeCell ref="B107:E108"/>
    <mergeCell ref="N60:P60"/>
    <mergeCell ref="B65:G65"/>
    <mergeCell ref="W58:Y58"/>
    <mergeCell ref="V9:Z9"/>
    <mergeCell ref="H55:K55"/>
    <mergeCell ref="W60:Y60"/>
    <mergeCell ref="B44:K47"/>
    <mergeCell ref="W57:Y57"/>
    <mergeCell ref="B13:AD13"/>
    <mergeCell ref="B40:K43"/>
    <mergeCell ref="B110:P110"/>
    <mergeCell ref="N55:P55"/>
    <mergeCell ref="Q56:S56"/>
    <mergeCell ref="H59:K59"/>
    <mergeCell ref="Q137:AD137"/>
    <mergeCell ref="V36:AE39"/>
    <mergeCell ref="T57:V57"/>
    <mergeCell ref="B6:F6"/>
    <mergeCell ref="B59:G59"/>
    <mergeCell ref="B3:S3"/>
    <mergeCell ref="H61:K61"/>
    <mergeCell ref="L6:P6"/>
    <mergeCell ref="P90:W91"/>
    <mergeCell ref="X90:AD91"/>
    <mergeCell ref="N106:P106"/>
    <mergeCell ref="L65:M65"/>
    <mergeCell ref="U106:X106"/>
    <mergeCell ref="T58:V58"/>
    <mergeCell ref="G9:K9"/>
    <mergeCell ref="AA8:AE8"/>
    <mergeCell ref="Q58:S58"/>
    <mergeCell ref="T54:V54"/>
    <mergeCell ref="P92:W92"/>
    <mergeCell ref="Q104:AD104"/>
    <mergeCell ref="F148:P148"/>
    <mergeCell ref="H65:K65"/>
    <mergeCell ref="N58:P58"/>
    <mergeCell ref="B111:P113"/>
    <mergeCell ref="AA10:AE10"/>
    <mergeCell ref="Q60:S60"/>
    <mergeCell ref="L57:M57"/>
    <mergeCell ref="H62:K62"/>
    <mergeCell ref="W62:Y62"/>
    <mergeCell ref="W59:Y59"/>
    <mergeCell ref="B89:H89"/>
    <mergeCell ref="AA9:AE9"/>
    <mergeCell ref="Q59:S59"/>
    <mergeCell ref="N57:P57"/>
    <mergeCell ref="B106:E106"/>
    <mergeCell ref="N59:P59"/>
    <mergeCell ref="T60:V60"/>
    <mergeCell ref="W61:Y61"/>
    <mergeCell ref="Q67:AD67"/>
    <mergeCell ref="J107:M108"/>
    <mergeCell ref="B8:F8"/>
    <mergeCell ref="H54:K54"/>
    <mergeCell ref="Q61:S61"/>
    <mergeCell ref="H63:K63"/>
    <mergeCell ref="B64:G64"/>
    <mergeCell ref="L8:P8"/>
    <mergeCell ref="B151:AD151"/>
    <mergeCell ref="Z63:AE63"/>
    <mergeCell ref="Q145:T145"/>
    <mergeCell ref="B10:F10"/>
    <mergeCell ref="H56:K56"/>
    <mergeCell ref="B63:G63"/>
    <mergeCell ref="U145:AD145"/>
    <mergeCell ref="Q6:U6"/>
    <mergeCell ref="L10:P10"/>
    <mergeCell ref="Z65:AE65"/>
    <mergeCell ref="Q147:T147"/>
    <mergeCell ref="B9:F9"/>
    <mergeCell ref="N107:P108"/>
    <mergeCell ref="L44:U47"/>
    <mergeCell ref="L9:P9"/>
    <mergeCell ref="L59:M59"/>
    <mergeCell ref="W65:Y65"/>
    <mergeCell ref="I92:O92"/>
    <mergeCell ref="Z57:AE57"/>
    <mergeCell ref="L61:M61"/>
    <mergeCell ref="L36:U39"/>
    <mergeCell ref="T65:V65"/>
    <mergeCell ref="B133:AD135"/>
    <mergeCell ref="Q7:U7"/>
    <mergeCell ref="T62:V62"/>
    <mergeCell ref="T59:V59"/>
    <mergeCell ref="N62:P62"/>
    <mergeCell ref="Q63:S63"/>
    <mergeCell ref="F147:P147"/>
    <mergeCell ref="B90:H91"/>
    <mergeCell ref="B61:G61"/>
    <mergeCell ref="B67:P67"/>
    <mergeCell ref="B92:H92"/>
    <mergeCell ref="B129:AD129"/>
    <mergeCell ref="T64:V64"/>
    <mergeCell ref="G8:K8"/>
    <mergeCell ref="N64:P64"/>
    <mergeCell ref="F146:P146"/>
    <mergeCell ref="Q8:U8"/>
    <mergeCell ref="B131:AD131"/>
    <mergeCell ref="G10:K10"/>
    <mergeCell ref="B52:AD52"/>
    <mergeCell ref="U107:X108"/>
    <mergeCell ref="Q111:AD113"/>
    <mergeCell ref="Q10:U10"/>
    <mergeCell ref="Q106:T106"/>
    <mergeCell ref="T56:V56"/>
    <mergeCell ref="G6:K6"/>
    <mergeCell ref="B2:AD2"/>
    <mergeCell ref="Q138:AD141"/>
    <mergeCell ref="B55:G55"/>
    <mergeCell ref="H58:K58"/>
    <mergeCell ref="V40:AE43"/>
    <mergeCell ref="L58:M58"/>
    <mergeCell ref="Z59:AE59"/>
    <mergeCell ref="N65:P65"/>
    <mergeCell ref="B104:P104"/>
    <mergeCell ref="V35:AE35"/>
    <mergeCell ref="V3:AD3"/>
    <mergeCell ref="H60:K60"/>
    <mergeCell ref="B34:AD34"/>
    <mergeCell ref="Z55:AE55"/>
    <mergeCell ref="L60:M60"/>
    <mergeCell ref="V7:Z7"/>
    <mergeCell ref="B36:K39"/>
    <mergeCell ref="B148:E148"/>
    <mergeCell ref="Q62:S62"/>
    <mergeCell ref="Z54:AE54"/>
    <mergeCell ref="F107:I108"/>
    <mergeCell ref="U147:AD147"/>
    <mergeCell ref="Q54:S54"/>
    <mergeCell ref="B58:G58"/>
    <mergeCell ref="W64:Y64"/>
    <mergeCell ref="Q55:S55"/>
    <mergeCell ref="P89:W89"/>
    <mergeCell ref="X89:AD89"/>
    <mergeCell ref="H57:K57"/>
    <mergeCell ref="Q64:S64"/>
    <mergeCell ref="B94:AD94"/>
    <mergeCell ref="U146:AD146"/>
    <mergeCell ref="W54:Y54"/>
    <mergeCell ref="B60:G60"/>
    <mergeCell ref="W63:Y63"/>
    <mergeCell ref="Q148:T148"/>
    <mergeCell ref="B57:G57"/>
    <mergeCell ref="Z58:AE58"/>
    <mergeCell ref="N61:P61"/>
    <mergeCell ref="B144:AD144"/>
    <mergeCell ref="U148:AD148"/>
    <mergeCell ref="W56:Y56"/>
    <mergeCell ref="G7:K7"/>
    <mergeCell ref="B138:P141"/>
    <mergeCell ref="V44:AE47"/>
    <mergeCell ref="Q65:S65"/>
    <mergeCell ref="T61:V61"/>
    <mergeCell ref="L62:M62"/>
    <mergeCell ref="B35:K35"/>
    <mergeCell ref="B96:AD96"/>
    <mergeCell ref="I89:O89"/>
    <mergeCell ref="F145:P145"/>
    <mergeCell ref="L55:M55"/>
    <mergeCell ref="Z60:AE60"/>
    <mergeCell ref="L64:M64"/>
    <mergeCell ref="Q146:T146"/>
    <mergeCell ref="V6:Z6"/>
    <mergeCell ref="AA7:AE7"/>
    <mergeCell ref="Q57:S57"/>
    <mergeCell ref="L54:M54"/>
    <mergeCell ref="B88:AD88"/>
    <mergeCell ref="L63:M63"/>
    <mergeCell ref="H64:K64"/>
    <mergeCell ref="Q9:U9"/>
    <mergeCell ref="B62:G62"/>
    <mergeCell ref="B145:E145"/>
    <mergeCell ref="N54:P54"/>
    <mergeCell ref="B54:G54"/>
    <mergeCell ref="L56:M56"/>
    <mergeCell ref="N63:P63"/>
    <mergeCell ref="I90:O91"/>
    <mergeCell ref="Y106:AD106"/>
    <mergeCell ref="Q110:AD110"/>
    <mergeCell ref="L40:U43"/>
    <mergeCell ref="F106:I106"/>
    <mergeCell ref="Z61:AE61"/>
    <mergeCell ref="X92:AD92"/>
    <mergeCell ref="Q107:T108"/>
    <mergeCell ref="L35:U35"/>
    <mergeCell ref="B147:E147"/>
    <mergeCell ref="N56:P56"/>
    <mergeCell ref="B56:G56"/>
    <mergeCell ref="W55:Y55"/>
    <mergeCell ref="T63:V63"/>
  </mergeCells>
  <conditionalFormatting sqref="B8">
    <cfRule type="expression" rank="0" priority="2" equalAverage="0" aboveAverage="0" dxfId="0" text="" percent="0" bottom="0">
      <formula>B8="ON TRACK"</formula>
    </cfRule>
    <cfRule type="expression" rank="0" priority="3" equalAverage="0" aboveAverage="0" dxfId="1" text="" percent="0" bottom="0">
      <formula>B8="WATCH"</formula>
    </cfRule>
    <cfRule type="expression" rank="0" priority="4" equalAverage="0" aboveAverage="0" dxfId="2" text="" percent="0" bottom="0">
      <formula>B8="OFF-TRACK"</formula>
    </cfRule>
  </conditionalFormatting>
  <conditionalFormatting sqref="G8">
    <cfRule type="expression" rank="0" priority="5" equalAverage="0" aboveAverage="0" dxfId="0" text="" percent="0" bottom="0">
      <formula>G8="ON TRACK"</formula>
    </cfRule>
    <cfRule type="expression" rank="0" priority="6" equalAverage="0" aboveAverage="0" dxfId="1" text="" percent="0" bottom="0">
      <formula>G8="WATCH"</formula>
    </cfRule>
    <cfRule type="expression" rank="0" priority="7" equalAverage="0" aboveAverage="0" dxfId="2" text="" percent="0" bottom="0">
      <formula>G8="OFF-TRACK"</formula>
    </cfRule>
  </conditionalFormatting>
  <conditionalFormatting sqref="L8">
    <cfRule type="expression" rank="0" priority="8" equalAverage="0" aboveAverage="0" dxfId="0" text="" percent="0" bottom="0">
      <formula>L8="ON TRACK"</formula>
    </cfRule>
    <cfRule type="expression" rank="0" priority="9" equalAverage="0" aboveAverage="0" dxfId="1" text="" percent="0" bottom="0">
      <formula>L8="WATCH"</formula>
    </cfRule>
    <cfRule type="expression" rank="0" priority="10" equalAverage="0" aboveAverage="0" dxfId="2" text="" percent="0" bottom="0">
      <formula>L8="OFF-TRACK"</formula>
    </cfRule>
  </conditionalFormatting>
  <conditionalFormatting sqref="Q8">
    <cfRule type="expression" rank="0" priority="11" equalAverage="0" aboveAverage="0" dxfId="0" text="" percent="0" bottom="0">
      <formula>Q8="ON TRACK"</formula>
    </cfRule>
    <cfRule type="expression" rank="0" priority="12" equalAverage="0" aboveAverage="0" dxfId="1" text="" percent="0" bottom="0">
      <formula>Q8="WATCH"</formula>
    </cfRule>
    <cfRule type="expression" rank="0" priority="13" equalAverage="0" aboveAverage="0" dxfId="2" text="" percent="0" bottom="0">
      <formula>Q8="OFF-TRACK"</formula>
    </cfRule>
  </conditionalFormatting>
  <conditionalFormatting sqref="V8">
    <cfRule type="expression" rank="0" priority="14" equalAverage="0" aboveAverage="0" dxfId="0" text="" percent="0" bottom="0">
      <formula>V8="ON TRACK"</formula>
    </cfRule>
    <cfRule type="expression" rank="0" priority="15" equalAverage="0" aboveAverage="0" dxfId="1" text="" percent="0" bottom="0">
      <formula>V8="WATCH"</formula>
    </cfRule>
    <cfRule type="expression" rank="0" priority="16" equalAverage="0" aboveAverage="0" dxfId="2" text="" percent="0" bottom="0">
      <formula>V8="OFF-TRACK"</formula>
    </cfRule>
  </conditionalFormatting>
  <conditionalFormatting sqref="AA8">
    <cfRule type="expression" rank="0" priority="17" equalAverage="0" aboveAverage="0" dxfId="0" text="" percent="0" bottom="0">
      <formula>AA8="ON TRACK"</formula>
    </cfRule>
    <cfRule type="expression" rank="0" priority="18" equalAverage="0" aboveAverage="0" dxfId="1" text="" percent="0" bottom="0">
      <formula>AA8="WATCH"</formula>
    </cfRule>
    <cfRule type="expression" rank="0" priority="19" equalAverage="0" aboveAverage="0" dxfId="2" text="" percent="0" bottom="0">
      <formula>AA8="OFF-TRACK"</formula>
    </cfRule>
  </conditionalFormatting>
  <conditionalFormatting sqref="Z55:Z64">
    <cfRule type="expression" rank="0" priority="20" equalAverage="0" aboveAverage="0" dxfId="0" text="" percent="0" bottom="0">
      <formula>Z55="ON TRACK"</formula>
    </cfRule>
    <cfRule type="expression" rank="0" priority="21" equalAverage="0" aboveAverage="0" dxfId="1" text="" percent="0" bottom="0">
      <formula>Z55="WATCH"</formula>
    </cfRule>
    <cfRule type="expression" rank="0" priority="22" equalAverage="0" aboveAverage="0" dxfId="2" text="" percent="0" bottom="0">
      <formula>Z55="OFF-TRACK"</formula>
    </cfRule>
    <cfRule type="expression" rank="0" priority="23" equalAverage="0" aboveAverage="0" dxfId="3" text="" percent="0" bottom="0">
      <formula>Z55="NO DATA"</formula>
    </cfRule>
  </conditionalFormatting>
  <printOptions horizontalCentered="1" verticalCentered="0" headings="0" gridLines="0" gridLinesSet="1"/>
  <pageMargins left="0.3" right="0.3" top="0.3" bottom="0.3" header="0.511811023622047" footer="0.511811023622047"/>
  <pageSetup orientation="portrait" paperSize="9" scale="100" fitToHeight="0" fitToWidth="1" pageOrder="downThenOver" blackAndWhite="0" draft="0" horizontalDpi="300" verticalDpi="300" copies="1"/>
  <rowBreaks count="2" manualBreakCount="2">
    <brk id="50" min="0" max="16383" man="1"/>
    <brk id="100" min="0" max="16383" man="1"/>
  </row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2026-04-20T08:18:24Z</dcterms:created>
  <dcterms:modified xmlns:dcterms="http://purl.org/dc/terms/" xmlns:xsi="http://www.w3.org/2001/XMLSchema-instance" xsi:type="dcterms:W3CDTF">2026-09-28T11:23:46Z</dcterms:modified>
  <cp:revision>34</cp:revision>
</cp:coreProperties>
</file>